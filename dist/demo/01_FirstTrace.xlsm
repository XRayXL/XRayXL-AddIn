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ndre\source\AndyRepos\XRayXL\XRayXL-AddIn\dist\demo\"/>
    </mc:Choice>
  </mc:AlternateContent>
  <xr:revisionPtr revIDLastSave="0" documentId="8_{6969FC01-FA81-4B06-9AEA-D3A1583B531F}" xr6:coauthVersionLast="47" xr6:coauthVersionMax="47" xr10:uidLastSave="{00000000-0000-0000-0000-000000000000}"/>
  <bookViews>
    <workbookView xWindow="-120" yWindow="-120" windowWidth="29040" windowHeight="15720" xr2:uid="{5D036DE5-C148-482B-B2DA-1ABDCF7B9FB1}"/>
  </bookViews>
  <sheets>
    <sheet name="First trace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B15" i="1" l="1"/>
  <c r="B14" i="1"/>
  <c r="B13" i="1"/>
  <c r="B12" i="1"/>
  <c r="B11" i="1"/>
</calcChain>
</file>

<file path=xl/sharedStrings.xml><?xml version="1.0" encoding="utf-8"?>
<sst xmlns="http://schemas.openxmlformats.org/spreadsheetml/2006/main" count="19" uniqueCount="19">
  <si>
    <t>01  Your first trace</t>
  </si>
  <si>
    <t>One recalculation traced: VBA functions, XLL functions, and one calling the other.</t>
  </si>
  <si>
    <t>Try it</t>
  </si>
  <si>
    <t>1.  Developer tab &gt; XRayXL &gt; Arm.</t>
  </si>
  <si>
    <t>2.  Press Ctrl+Alt+F9 to recalculate everything.</t>
  </si>
  <si>
    <t>3.  Developer tab &gt; XRayXL &gt; Disarm.</t>
  </si>
  <si>
    <t>4.  Open the trace: Options &gt; Output &gt; right-click Trace file &gt; Reveal in File Explorer. (Tail in PowerShell, pressed before step 2, shows rows as they arrive.)</t>
  </si>
  <si>
    <t>What gets calculated</t>
  </si>
  <si>
    <t>Look for this in the trace</t>
  </si>
  <si>
    <t>RiskWeighted -- VBA calling VBA</t>
  </si>
  <si>
    <t>RiskWeighted at depth 1, then WeightFor at depth 2 with parent = RiskWeighted's span</t>
  </si>
  <si>
    <t>OptionBook -- VBA calling an XLL</t>
  </si>
  <si>
    <t>BlackScholes's rows fall between OptionBook's entry and exit, same callerref; each source counts its own depth</t>
  </si>
  <si>
    <t>BlackScholes -- an XLL function</t>
  </si>
  <si>
    <t>source XLL; args a1:B=100 ... ; ret and rettype Q</t>
  </si>
  <si>
    <t>SlowSum -- a slow XLL function</t>
  </si>
  <si>
    <t>the ticks column: this one is far slower than its neighbours</t>
  </si>
  <si>
    <t>Fibonacci -- a heavy XLL function</t>
  </si>
  <si>
    <t>ticks again; callerref names the cell each call came from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</si>
</sst>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Aptos Narrow"/>
      <family val="2"/>
      <scheme val="minor"/>
    </font>
    <font>
      <sz val="10"/>
      <color theme="1"/>
      <name val="Segoe UI"/>
      <family val="2"/>
    </font>
    <font>
      <b/>
      <sz val="16"/>
      <color theme="1"/>
      <name val="Segoe UI"/>
      <family val="2"/>
    </font>
    <font>
      <i/>
      <sz val="10"/>
      <color theme="1"/>
      <name val="Segoe UI"/>
      <family val="2"/>
    </font>
    <font>
      <b/>
      <sz val="10"/>
      <color theme="1"/>
      <name val="Segoe UI"/>
      <family val="2"/>
    </font>
    <font>
      <b/>
      <sz val="11"/>
      <color theme="1"/>
      <name val="Segoe UI"/>
      <family val="2"/>
    </font>
    <font>
      <sz val="10"/>
      <color rgb="FF606060"/>
      <name val="Segoe U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4" fillId="0" borderId="0" xfId="0" applyFont="1"/>
    <xf numFmtId="0" fontId="5" fillId="0" borderId="1" xfId="0" applyFont="1" applyBorder="1"/>
    <xf numFmtId="0" fontId="1" fillId="0" borderId="1" xfId="0" applyFont="1" applyBorder="1"/>
    <xf numFmtId="0" fontId="1" fillId="0" borderId="0" xfId="0" applyFont="1" applyAlignment="1">
      <alignment horizontal="left"/>
    </xf>
    <xf numFmtId="0" fontId="6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33066B-2F0E-4CB0-AD53-67CE7E7F183A}">
  <sheetPr codeName="Sheet1"/>
  <dimension ref="A1:J15"/>
  <sheetViews>
    <sheetView showGridLines="0" tabSelected="1" workbookViewId="0"/>
  </sheetViews>
  <sheetFormatPr defaultRowHeight="14.25" x14ac:dyDescent="0.25"/>
  <cols>
    <col min="1" max="1" width="44.7109375" style="1" customWidth="1"/>
    <col min="2" max="9" width="11.7109375" style="1" customWidth="1"/>
    <col min="10" max="10" width="70.7109375" style="1" customWidth="1"/>
    <col min="11" max="16384" width="9.140625" style="1"/>
  </cols>
  <sheetData>
    <row r="1" spans="1:10" ht="25.5" x14ac:dyDescent="0.5">
      <c r="A1" s="2" t="s">
        <v>0</v>
      </c>
    </row>
    <row r="2" spans="1:10" x14ac:dyDescent="0.25">
      <c r="A2" s="3" t="s">
        <v>1</v>
      </c>
    </row>
    <row r="4" spans="1:10" x14ac:dyDescent="0.25">
      <c r="A4" s="4" t="s">
        <v>2</v>
      </c>
    </row>
    <row r="5" spans="1:10" x14ac:dyDescent="0.25">
      <c r="A5" s="1" t="s">
        <v>3</v>
      </c>
    </row>
    <row r="6" spans="1:10" x14ac:dyDescent="0.25">
      <c r="A6" s="1" t="s">
        <v>4</v>
      </c>
    </row>
    <row r="7" spans="1:10" x14ac:dyDescent="0.25">
      <c r="A7" s="1" t="s">
        <v>5</v>
      </c>
    </row>
    <row r="8" spans="1:10" x14ac:dyDescent="0.25">
      <c r="A8" s="1" t="s">
        <v>6</v>
      </c>
    </row>
    <row r="10" spans="1:10" ht="16.5" x14ac:dyDescent="0.3">
      <c r="A10" s="5" t="s">
        <v>7</v>
      </c>
      <c r="B10" s="6"/>
      <c r="C10" s="6"/>
      <c r="D10" s="6"/>
      <c r="E10" s="6"/>
      <c r="F10" s="6"/>
      <c r="G10" s="6"/>
      <c r="H10" s="6"/>
      <c r="J10" s="4" t="s">
        <v>8</v>
      </c>
    </row>
    <row r="11" spans="1:10" x14ac:dyDescent="0.25">
      <c r="A11" s="1" t="s">
        <v>9</v>
      </c>
      <c r="B11" s="7">
        <f>RiskWeighted(1000000,3)</f>
        <v>1000000</v>
      </c>
      <c r="J11" s="8" t="s">
        <v>10</v>
      </c>
    </row>
    <row r="12" spans="1:10" x14ac:dyDescent="0.25">
      <c r="A12" s="1" t="s">
        <v>11</v>
      </c>
      <c r="B12" s="7">
        <f>OptionBook(100)</f>
        <v>1045.0583572185565</v>
      </c>
      <c r="J12" s="8" t="s">
        <v>12</v>
      </c>
    </row>
    <row r="13" spans="1:10" x14ac:dyDescent="0.25">
      <c r="A13" s="1" t="s">
        <v>13</v>
      </c>
      <c r="B13" s="7">
        <f>_xll.BlackScholes(100,100,1,0.05,0.2)</f>
        <v>10.450583572185565</v>
      </c>
      <c r="J13" s="8" t="s">
        <v>14</v>
      </c>
    </row>
    <row r="14" spans="1:10" x14ac:dyDescent="0.25">
      <c r="A14" s="1" t="s">
        <v>15</v>
      </c>
      <c r="B14" s="7">
        <f>_xll.SlowSum(2,3)</f>
        <v>5</v>
      </c>
      <c r="J14" s="8" t="s">
        <v>16</v>
      </c>
    </row>
    <row r="15" spans="1:10" x14ac:dyDescent="0.25">
      <c r="A15" s="1" t="s">
        <v>17</v>
      </c>
      <c r="B15" s="7">
        <f>_xll.Fibonacci(30)</f>
        <v>832040</v>
      </c>
      <c r="J15" s="8" t="s">
        <v>18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First trace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Lockhart</dc:creator>
  <cp:lastModifiedBy>Andrew Lockhart</cp:lastModifiedBy>
  <dcterms:created xsi:type="dcterms:W3CDTF">2026-09-19T16:34:51Z</dcterms:created>
  <dcterms:modified xsi:type="dcterms:W3CDTF">2026-09-19T16:34:52Z</dcterms:modified>
</cp:coreProperties>
</file>