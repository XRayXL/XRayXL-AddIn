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13_ncr:1_{0E3F77A3-70DE-4D81-8581-E487DD8D81B7}" xr6:coauthVersionLast="47" xr6:coauthVersionMax="47" xr10:uidLastSave="{00000000-0000-0000-0000-000000000000}"/>
  <bookViews>
    <workbookView xWindow="-24900" yWindow="1350" windowWidth="22785" windowHeight="13230" activeTab="1" xr2:uid="{CF29D039-02C6-4773-A58D-949BB0FCDB57}"/>
  </bookViews>
  <sheets>
    <sheet name="Market Data" sheetId="2" r:id="rId1"/>
    <sheet name="Curve Analytics" sheetId="4" r:id="rId2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46" i="2" l="1"/>
  <c r="K45" i="2"/>
  <c r="L45" i="2" s="1"/>
  <c r="F68" i="2" s="1"/>
  <c r="K44" i="2"/>
  <c r="K43" i="2"/>
  <c r="K42" i="2"/>
  <c r="K41" i="2"/>
  <c r="K40" i="2"/>
  <c r="K39" i="2"/>
  <c r="K38" i="2"/>
  <c r="K37" i="2"/>
  <c r="K33" i="2"/>
  <c r="L33" i="2" s="1"/>
  <c r="K32" i="2"/>
  <c r="L32" i="2" s="1"/>
  <c r="K31" i="2"/>
  <c r="L31" i="2" s="1"/>
  <c r="K30" i="2"/>
  <c r="L30" i="2" s="1"/>
  <c r="K26" i="2"/>
  <c r="K25" i="2"/>
  <c r="K24" i="2"/>
  <c r="K23" i="2"/>
  <c r="K22" i="2"/>
  <c r="K21" i="2"/>
  <c r="I33" i="2"/>
  <c r="I32" i="2"/>
  <c r="I31" i="2"/>
  <c r="I30" i="2"/>
  <c r="A34" i="4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E11" i="2"/>
  <c r="E10" i="2"/>
  <c r="B75" i="2"/>
  <c r="B69" i="2"/>
  <c r="B68" i="2"/>
  <c r="B67" i="2"/>
  <c r="B66" i="2"/>
  <c r="B65" i="2"/>
  <c r="B64" i="2"/>
  <c r="B63" i="2"/>
  <c r="B62" i="2"/>
  <c r="B61" i="2"/>
  <c r="B59" i="2"/>
  <c r="B58" i="2"/>
  <c r="B57" i="2"/>
  <c r="G55" i="2"/>
  <c r="B55" i="2"/>
  <c r="G54" i="2"/>
  <c r="B54" i="2"/>
  <c r="G53" i="2"/>
  <c r="B53" i="2"/>
  <c r="G52" i="2"/>
  <c r="B52" i="2"/>
  <c r="G51" i="2"/>
  <c r="B51" i="2"/>
  <c r="B60" i="2"/>
  <c r="B56" i="2"/>
  <c r="G50" i="2"/>
  <c r="C50" i="2"/>
  <c r="B50" i="2"/>
  <c r="H46" i="2"/>
  <c r="H45" i="2"/>
  <c r="H44" i="2"/>
  <c r="H43" i="2"/>
  <c r="H42" i="2"/>
  <c r="H41" i="2"/>
  <c r="H40" i="2"/>
  <c r="H39" i="2"/>
  <c r="H38" i="2"/>
  <c r="H37" i="2"/>
  <c r="D21" i="2"/>
  <c r="B7" i="2"/>
  <c r="C41" i="2" s="1"/>
  <c r="C64" i="2" s="1"/>
  <c r="C25" i="2" a="1"/>
  <c r="B25" i="2" a="1"/>
  <c r="D30" i="2" a="1"/>
  <c r="D33" i="2" a="1"/>
  <c r="C24" i="2" a="1"/>
  <c r="C23" i="2" a="1"/>
  <c r="D41" i="2" a="1"/>
  <c r="B24" i="2" a="1"/>
  <c r="B23" i="2" a="1"/>
  <c r="C21" i="2" a="1"/>
  <c r="D31" i="2" a="1"/>
  <c r="C22" i="2" a="1"/>
  <c r="B21" i="2" a="1"/>
  <c r="B22" i="2" a="1"/>
  <c r="B18" i="2" a="1"/>
  <c r="O18" i="2" a="1"/>
  <c r="C26" i="2" a="1"/>
  <c r="D32" i="2" a="1"/>
  <c r="B26" i="2" a="1"/>
  <c r="E21" i="2" a="1"/>
  <c r="M30" i="2" l="1"/>
  <c r="F56" i="2" s="1"/>
  <c r="M31" i="2"/>
  <c r="F57" i="2" s="1"/>
  <c r="M32" i="2"/>
  <c r="F58" i="2" s="1"/>
  <c r="M33" i="2"/>
  <c r="F59" i="2" s="1"/>
  <c r="L46" i="2"/>
  <c r="L21" i="2"/>
  <c r="F50" i="2" s="1"/>
  <c r="L41" i="2"/>
  <c r="L22" i="2"/>
  <c r="F51" i="2" s="1"/>
  <c r="L42" i="2"/>
  <c r="L38" i="2"/>
  <c r="L23" i="2"/>
  <c r="F52" i="2" s="1"/>
  <c r="L43" i="2"/>
  <c r="L26" i="2"/>
  <c r="F55" i="2" s="1"/>
  <c r="L39" i="2"/>
  <c r="L40" i="2"/>
  <c r="L24" i="2"/>
  <c r="F53" i="2" s="1"/>
  <c r="L44" i="2"/>
  <c r="L25" i="2"/>
  <c r="F54" i="2" s="1"/>
  <c r="C42" i="2"/>
  <c r="D26" i="2"/>
  <c r="C37" i="2"/>
  <c r="C43" i="2"/>
  <c r="C38" i="2"/>
  <c r="C44" i="2"/>
  <c r="C45" i="2"/>
  <c r="D24" i="2"/>
  <c r="C4" i="4"/>
  <c r="C40" i="2"/>
  <c r="C46" i="2"/>
  <c r="D25" i="2"/>
  <c r="C39" i="2"/>
  <c r="C7" i="2"/>
  <c r="D22" i="2"/>
  <c r="D23" i="2"/>
  <c r="L37" i="2"/>
  <c r="E21" i="2"/>
  <c r="B26" i="2"/>
  <c r="D32" i="2"/>
  <c r="C26" i="2"/>
  <c r="O18" i="2"/>
  <c r="B18" i="2"/>
  <c r="B22" i="2"/>
  <c r="B21" i="2"/>
  <c r="C22" i="2"/>
  <c r="D31" i="2"/>
  <c r="C21" i="2"/>
  <c r="B23" i="2"/>
  <c r="B24" i="2"/>
  <c r="D41" i="2"/>
  <c r="C23" i="2"/>
  <c r="C24" i="2"/>
  <c r="D33" i="2"/>
  <c r="D30" i="2"/>
  <c r="B25" i="2"/>
  <c r="C25" i="2"/>
  <c r="D42" i="2" a="1"/>
  <c r="D39" i="2" a="1"/>
  <c r="E26" i="2" a="1"/>
  <c r="D37" i="2" a="1"/>
  <c r="E22" i="2" a="1"/>
  <c r="D43" i="2" a="1"/>
  <c r="E23" i="2" a="1"/>
  <c r="D40" i="2" a="1"/>
  <c r="D38" i="2" a="1"/>
  <c r="D46" i="2" a="1"/>
  <c r="D44" i="2" a="1"/>
  <c r="D45" i="2" a="1"/>
  <c r="C8" i="4" a="1"/>
  <c r="E33" i="4" a="1"/>
  <c r="C16" i="4" a="1"/>
  <c r="C17" i="4" a="1"/>
  <c r="C12" i="4" a="1"/>
  <c r="C10" i="4" a="1"/>
  <c r="C11" i="4" a="1"/>
  <c r="C13" i="4" a="1"/>
  <c r="C9" i="4" a="1"/>
  <c r="C15" i="4" a="1"/>
  <c r="C14" i="4" a="1"/>
  <c r="E34" i="4" a="1"/>
  <c r="E43" i="4" a="1"/>
  <c r="E46" i="4" a="1"/>
  <c r="E49" i="4" a="1"/>
  <c r="E52" i="4" a="1"/>
  <c r="E55" i="4" a="1"/>
  <c r="E58" i="4" a="1"/>
  <c r="E61" i="4" a="1"/>
  <c r="E40" i="4" a="1"/>
  <c r="E45" i="4" a="1"/>
  <c r="E48" i="4" a="1"/>
  <c r="E54" i="4" a="1"/>
  <c r="E57" i="4" a="1"/>
  <c r="E60" i="4" a="1"/>
  <c r="E36" i="4" a="1"/>
  <c r="E39" i="4" a="1"/>
  <c r="E51" i="4" a="1"/>
  <c r="E37" i="4" a="1"/>
  <c r="E42" i="4" a="1"/>
  <c r="E35" i="4" a="1"/>
  <c r="E38" i="4" a="1"/>
  <c r="E41" i="4" a="1"/>
  <c r="E44" i="4" a="1"/>
  <c r="E47" i="4" a="1"/>
  <c r="E50" i="4" a="1"/>
  <c r="E53" i="4" a="1"/>
  <c r="E56" i="4" a="1"/>
  <c r="E59" i="4" a="1"/>
  <c r="E62" i="4" a="1"/>
  <c r="E24" i="2" a="1"/>
  <c r="E25" i="2" a="1"/>
  <c r="F21" i="2" a="1"/>
  <c r="E31" i="2" a="1"/>
  <c r="E33" i="2" a="1"/>
  <c r="E41" i="2" a="1"/>
  <c r="E30" i="2" a="1"/>
  <c r="E32" i="2" a="1"/>
  <c r="F69" i="2" l="1"/>
  <c r="F60" i="2"/>
  <c r="F61" i="2"/>
  <c r="F64" i="2"/>
  <c r="F63" i="2"/>
  <c r="F62" i="2"/>
  <c r="F67" i="2"/>
  <c r="F65" i="2"/>
  <c r="F66" i="2"/>
  <c r="E25" i="2"/>
  <c r="E24" i="2"/>
  <c r="E62" i="4"/>
  <c r="E59" i="4"/>
  <c r="E56" i="4"/>
  <c r="E53" i="4"/>
  <c r="E50" i="4"/>
  <c r="E47" i="4"/>
  <c r="E44" i="4"/>
  <c r="E41" i="4"/>
  <c r="E38" i="4"/>
  <c r="E35" i="4"/>
  <c r="E42" i="4"/>
  <c r="E37" i="4"/>
  <c r="E51" i="4"/>
  <c r="E39" i="4"/>
  <c r="E36" i="4"/>
  <c r="E60" i="4"/>
  <c r="E57" i="4"/>
  <c r="E54" i="4"/>
  <c r="E48" i="4"/>
  <c r="E45" i="4"/>
  <c r="E40" i="4"/>
  <c r="E61" i="4"/>
  <c r="E58" i="4"/>
  <c r="E55" i="4"/>
  <c r="E52" i="4"/>
  <c r="E49" i="4"/>
  <c r="E46" i="4"/>
  <c r="E43" i="4"/>
  <c r="E34" i="4"/>
  <c r="C14" i="4"/>
  <c r="C15" i="4"/>
  <c r="C9" i="4"/>
  <c r="C13" i="4"/>
  <c r="C11" i="4"/>
  <c r="C10" i="4"/>
  <c r="C12" i="4"/>
  <c r="C17" i="4"/>
  <c r="C16" i="4"/>
  <c r="E33" i="4"/>
  <c r="C8" i="4"/>
  <c r="D45" i="2"/>
  <c r="D44" i="2"/>
  <c r="D46" i="2"/>
  <c r="D38" i="2"/>
  <c r="D40" i="2"/>
  <c r="E23" i="2"/>
  <c r="D43" i="2"/>
  <c r="E22" i="2"/>
  <c r="D37" i="2"/>
  <c r="E26" i="2"/>
  <c r="D39" i="2"/>
  <c r="D42" i="2"/>
  <c r="C54" i="2"/>
  <c r="C53" i="2"/>
  <c r="C68" i="2"/>
  <c r="C67" i="2"/>
  <c r="C69" i="2"/>
  <c r="C61" i="2"/>
  <c r="C63" i="2"/>
  <c r="C52" i="2"/>
  <c r="C66" i="2"/>
  <c r="C51" i="2"/>
  <c r="C60" i="2"/>
  <c r="C55" i="2"/>
  <c r="C62" i="2"/>
  <c r="C65" i="2"/>
  <c r="E32" i="2"/>
  <c r="E30" i="2"/>
  <c r="E41" i="2"/>
  <c r="E33" i="2"/>
  <c r="E31" i="2"/>
  <c r="F21" i="2"/>
  <c r="C58" i="2"/>
  <c r="C59" i="2"/>
  <c r="C57" i="2"/>
  <c r="C56" i="2"/>
  <c r="F25" i="2" a="1"/>
  <c r="E43" i="2" a="1"/>
  <c r="E42" i="2" a="1"/>
  <c r="E40" i="2" a="1"/>
  <c r="F24" i="2" a="1"/>
  <c r="F22" i="2" a="1"/>
  <c r="E46" i="2" a="1"/>
  <c r="E37" i="2" a="1"/>
  <c r="E44" i="2" a="1"/>
  <c r="F26" i="2" a="1"/>
  <c r="E39" i="2" a="1"/>
  <c r="E45" i="2" a="1"/>
  <c r="E38" i="2" a="1"/>
  <c r="F23" i="2" a="1"/>
  <c r="G33" i="2" a="1"/>
  <c r="G32" i="2" a="1"/>
  <c r="G41" i="2" a="1"/>
  <c r="H21" i="2" a="1"/>
  <c r="G30" i="2" a="1"/>
  <c r="G31" i="2" a="1"/>
  <c r="F23" i="2" l="1"/>
  <c r="E38" i="2"/>
  <c r="E45" i="2"/>
  <c r="E39" i="2"/>
  <c r="F39" i="2" s="1"/>
  <c r="F26" i="2"/>
  <c r="E44" i="2"/>
  <c r="E37" i="2"/>
  <c r="E46" i="2"/>
  <c r="F22" i="2"/>
  <c r="D51" i="2" s="1"/>
  <c r="F24" i="2"/>
  <c r="E40" i="2"/>
  <c r="E42" i="2"/>
  <c r="D65" i="2" s="1"/>
  <c r="E43" i="2"/>
  <c r="F25" i="2"/>
  <c r="D54" i="2"/>
  <c r="G31" i="2"/>
  <c r="E57" i="2" s="1"/>
  <c r="G30" i="2"/>
  <c r="E56" i="2" s="1"/>
  <c r="H21" i="2"/>
  <c r="E50" i="2" s="1"/>
  <c r="G41" i="2"/>
  <c r="E64" i="2" s="1"/>
  <c r="G32" i="2"/>
  <c r="E58" i="2" s="1"/>
  <c r="G33" i="2"/>
  <c r="E59" i="2" s="1"/>
  <c r="G26" i="2"/>
  <c r="D52" i="2"/>
  <c r="D57" i="2"/>
  <c r="F31" i="2"/>
  <c r="D56" i="2"/>
  <c r="D69" i="2"/>
  <c r="F46" i="2"/>
  <c r="D50" i="2"/>
  <c r="G21" i="2"/>
  <c r="D61" i="2"/>
  <c r="F38" i="2"/>
  <c r="D64" i="2"/>
  <c r="F41" i="2"/>
  <c r="F30" i="2"/>
  <c r="D58" i="2"/>
  <c r="F32" i="2"/>
  <c r="D66" i="2"/>
  <c r="F43" i="2"/>
  <c r="F33" i="2"/>
  <c r="D59" i="2"/>
  <c r="D68" i="2"/>
  <c r="F45" i="2"/>
  <c r="F37" i="2"/>
  <c r="D60" i="2"/>
  <c r="D63" i="2"/>
  <c r="H23" i="2" a="1"/>
  <c r="G43" i="2" a="1"/>
  <c r="G45" i="2" a="1"/>
  <c r="G39" i="2" a="1"/>
  <c r="G37" i="2" a="1"/>
  <c r="H22" i="2" a="1"/>
  <c r="G38" i="2" a="1"/>
  <c r="H25" i="2" a="1"/>
  <c r="H26" i="2" a="1"/>
  <c r="G44" i="2" a="1"/>
  <c r="G46" i="2" a="1"/>
  <c r="G42" i="2" a="1"/>
  <c r="G40" i="2" a="1"/>
  <c r="H24" i="2" a="1"/>
  <c r="H24" i="2" l="1"/>
  <c r="E53" i="2" s="1"/>
  <c r="G40" i="2"/>
  <c r="E63" i="2" s="1"/>
  <c r="G42" i="2"/>
  <c r="E65" i="2" s="1"/>
  <c r="G46" i="2"/>
  <c r="E69" i="2" s="1"/>
  <c r="G44" i="2"/>
  <c r="E67" i="2" s="1"/>
  <c r="H26" i="2"/>
  <c r="E55" i="2" s="1"/>
  <c r="H25" i="2"/>
  <c r="E54" i="2" s="1"/>
  <c r="G38" i="2"/>
  <c r="E61" i="2" s="1"/>
  <c r="H22" i="2"/>
  <c r="E51" i="2" s="1"/>
  <c r="G37" i="2"/>
  <c r="E60" i="2" s="1"/>
  <c r="G39" i="2"/>
  <c r="E62" i="2" s="1"/>
  <c r="G45" i="2"/>
  <c r="E68" i="2" s="1"/>
  <c r="G43" i="2"/>
  <c r="E66" i="2" s="1"/>
  <c r="H23" i="2"/>
  <c r="E52" i="2" s="1"/>
  <c r="G24" i="2"/>
  <c r="F42" i="2"/>
  <c r="G25" i="2"/>
  <c r="G22" i="2"/>
  <c r="D53" i="2"/>
  <c r="F44" i="2"/>
  <c r="D55" i="2"/>
  <c r="D67" i="2"/>
  <c r="F40" i="2"/>
  <c r="D62" i="2"/>
  <c r="G23" i="2"/>
  <c r="B72" i="2" a="1"/>
  <c r="B72" i="2" l="1"/>
  <c r="B74" i="2" s="1"/>
  <c r="B73" i="2" a="1"/>
  <c r="B76" i="2" a="1"/>
  <c r="C3" i="4" l="1"/>
  <c r="B76" i="2"/>
  <c r="B73" i="2"/>
  <c r="H28" i="4" a="1"/>
  <c r="G28" i="4" a="1"/>
  <c r="F27" i="4" a="1"/>
  <c r="C27" i="4" a="1"/>
  <c r="D17" i="4" a="1"/>
  <c r="G14" i="4" a="1"/>
  <c r="H8" i="4" a="1"/>
  <c r="C43" i="4" a="1"/>
  <c r="C36" i="4" a="1"/>
  <c r="D59" i="4" a="1"/>
  <c r="C55" i="4" a="1"/>
  <c r="C61" i="4" a="1"/>
  <c r="B45" i="4" a="1"/>
  <c r="D54" i="4" a="1"/>
  <c r="D50" i="4" a="1"/>
  <c r="B33" i="4" a="1"/>
  <c r="H26" i="4" a="1"/>
  <c r="D28" i="4" a="1"/>
  <c r="C22" i="4" a="1"/>
  <c r="G12" i="4" a="1"/>
  <c r="C56" i="4" a="1"/>
  <c r="B37" i="4" a="1"/>
  <c r="C47" i="4" a="1"/>
  <c r="G15" i="4" a="1"/>
  <c r="C46" i="4" a="1"/>
  <c r="D57" i="4" a="1"/>
  <c r="F26" i="4" a="1"/>
  <c r="B54" i="4" a="1"/>
  <c r="B43" i="4" a="1"/>
  <c r="B36" i="4" a="1"/>
  <c r="C50" i="4" a="1"/>
  <c r="H27" i="4" a="1"/>
  <c r="G27" i="4" a="1"/>
  <c r="E23" i="4" a="1"/>
  <c r="C26" i="4" a="1"/>
  <c r="D11" i="4" a="1"/>
  <c r="E11" i="4" a="1"/>
  <c r="E12" i="4" a="1"/>
  <c r="B60" i="4" a="1"/>
  <c r="B56" i="4" a="1"/>
  <c r="D52" i="4" a="1"/>
  <c r="D37" i="4" a="1"/>
  <c r="B35" i="4" a="1"/>
  <c r="B41" i="4" a="1"/>
  <c r="B47" i="4" a="1"/>
  <c r="F16" i="4" a="1"/>
  <c r="G26" i="4" a="1"/>
  <c r="C25" i="4" a="1"/>
  <c r="G11" i="4" a="1"/>
  <c r="C60" i="4" a="1"/>
  <c r="B52" i="4" a="1"/>
  <c r="C35" i="4" a="1"/>
  <c r="C41" i="4" a="1"/>
  <c r="C33" i="4" a="1"/>
  <c r="H17" i="4" a="1"/>
  <c r="C38" i="4" a="1"/>
  <c r="F8" i="4" a="1"/>
  <c r="D36" i="4" a="1"/>
  <c r="D27" i="4" a="1"/>
  <c r="C54" i="4" a="1"/>
  <c r="B59" i="4" a="1"/>
  <c r="F11" i="4" a="1"/>
  <c r="H25" i="4" a="1"/>
  <c r="G25" i="4" a="1"/>
  <c r="D25" i="4" a="1"/>
  <c r="C24" i="4" a="1"/>
  <c r="D8" i="4" a="1"/>
  <c r="H11" i="4" a="1"/>
  <c r="H12" i="4" a="1"/>
  <c r="D60" i="4" a="1"/>
  <c r="D56" i="4" a="1"/>
  <c r="C52" i="4" a="1"/>
  <c r="C37" i="4" a="1"/>
  <c r="D35" i="4" a="1"/>
  <c r="D41" i="4" a="1"/>
  <c r="D47" i="4" a="1"/>
  <c r="D33" i="4" a="1"/>
  <c r="B57" i="4" a="1"/>
  <c r="B46" i="4" a="1"/>
  <c r="F22" i="4" a="1"/>
  <c r="C39" i="4" a="1"/>
  <c r="D13" i="4" a="1"/>
  <c r="D55" i="4" a="1"/>
  <c r="C28" i="4" a="1"/>
  <c r="B55" i="4" a="1"/>
  <c r="F15" i="4" a="1"/>
  <c r="H24" i="4" a="1"/>
  <c r="G24" i="4" a="1"/>
  <c r="E28" i="4" a="1"/>
  <c r="C23" i="4" a="1"/>
  <c r="E10" i="4" a="1"/>
  <c r="E9" i="4" a="1"/>
  <c r="E16" i="4" a="1"/>
  <c r="B53" i="4" a="1"/>
  <c r="D49" i="4" a="1"/>
  <c r="B51" i="4" a="1"/>
  <c r="D58" i="4" a="1"/>
  <c r="D40" i="4" a="1"/>
  <c r="B48" i="4" a="1"/>
  <c r="B34" i="4" a="1"/>
  <c r="B58" i="4" a="1"/>
  <c r="C48" i="4" a="1"/>
  <c r="B62" i="4" a="1"/>
  <c r="D38" i="4" a="1"/>
  <c r="E27" i="4" a="1"/>
  <c r="D43" i="4" a="1"/>
  <c r="H14" i="4" a="1"/>
  <c r="F12" i="4" a="1"/>
  <c r="H23" i="4" a="1"/>
  <c r="G23" i="4" a="1"/>
  <c r="E26" i="4" a="1"/>
  <c r="D16" i="4" a="1"/>
  <c r="H10" i="4" a="1"/>
  <c r="G9" i="4" a="1"/>
  <c r="H16" i="4" a="1"/>
  <c r="D53" i="4" a="1"/>
  <c r="B49" i="4" a="1"/>
  <c r="C51" i="4" a="1"/>
  <c r="B40" i="4" a="1"/>
  <c r="D34" i="4" a="1"/>
  <c r="B44" i="4" a="1"/>
  <c r="C62" i="4" a="1"/>
  <c r="D14" i="4" a="1"/>
  <c r="E14" i="4" a="1"/>
  <c r="D12" i="4" a="1"/>
  <c r="F14" i="4" a="1"/>
  <c r="H22" i="4" a="1"/>
  <c r="G22" i="4" a="1"/>
  <c r="E25" i="4" a="1"/>
  <c r="D10" i="4" a="1"/>
  <c r="G10" i="4" a="1"/>
  <c r="H9" i="4" a="1"/>
  <c r="G16" i="4" a="1"/>
  <c r="C53" i="4" a="1"/>
  <c r="C49" i="4" a="1"/>
  <c r="D51" i="4" a="1"/>
  <c r="C58" i="4" a="1"/>
  <c r="C40" i="4" a="1"/>
  <c r="D48" i="4" a="1"/>
  <c r="C34" i="4" a="1"/>
  <c r="C42" i="4" a="1"/>
  <c r="G17" i="4" a="1"/>
  <c r="C57" i="4" a="1"/>
  <c r="H13" i="4" a="1"/>
  <c r="D42" i="4" a="1"/>
  <c r="E22" i="4" a="1"/>
  <c r="B50" i="4" a="1"/>
  <c r="G8" i="4" a="1"/>
  <c r="B61" i="4" a="1"/>
  <c r="F13" i="4" a="1"/>
  <c r="F25" i="4" a="1"/>
  <c r="F28" i="4" a="1"/>
  <c r="E24" i="4" a="1"/>
  <c r="D9" i="4" a="1"/>
  <c r="E13" i="4" a="1"/>
  <c r="E15" i="4" a="1"/>
  <c r="E17" i="4" a="1"/>
  <c r="D46" i="4" a="1"/>
  <c r="D39" i="4" a="1"/>
  <c r="B38" i="4" a="1"/>
  <c r="B42" i="4" a="1"/>
  <c r="F9" i="4" a="1"/>
  <c r="C44" i="4" a="1"/>
  <c r="E8" i="4" a="1"/>
  <c r="C45" i="4" a="1"/>
  <c r="F17" i="4" a="1"/>
  <c r="D45" i="4" a="1"/>
  <c r="F10" i="4" a="1"/>
  <c r="F23" i="4" a="1"/>
  <c r="F24" i="4" a="1"/>
  <c r="D22" i="4" a="1"/>
  <c r="D15" i="4" a="1"/>
  <c r="G13" i="4" a="1"/>
  <c r="H15" i="4" a="1"/>
  <c r="B39" i="4" a="1"/>
  <c r="D44" i="4" a="1"/>
  <c r="D26" i="4" a="1"/>
  <c r="D62" i="4" a="1"/>
  <c r="D23" i="4" a="1"/>
  <c r="D61" i="4" a="1"/>
  <c r="D24" i="4" a="1"/>
  <c r="C59" i="4" a="1"/>
  <c r="D33" i="4" l="1"/>
  <c r="C33" i="4"/>
  <c r="B33" i="4"/>
  <c r="D50" i="4"/>
  <c r="C50" i="4"/>
  <c r="B50" i="4"/>
  <c r="D57" i="4"/>
  <c r="C57" i="4"/>
  <c r="B57" i="4"/>
  <c r="C34" i="4"/>
  <c r="D34" i="4"/>
  <c r="B34" i="4"/>
  <c r="D47" i="4"/>
  <c r="C47" i="4"/>
  <c r="B47" i="4"/>
  <c r="D54" i="4"/>
  <c r="C54" i="4"/>
  <c r="B54" i="4"/>
  <c r="C44" i="4"/>
  <c r="D44" i="4"/>
  <c r="B44" i="4"/>
  <c r="D48" i="4"/>
  <c r="C48" i="4"/>
  <c r="B48" i="4"/>
  <c r="D41" i="4"/>
  <c r="C41" i="4"/>
  <c r="B41" i="4"/>
  <c r="B45" i="4"/>
  <c r="D45" i="4"/>
  <c r="C45" i="4"/>
  <c r="C38" i="4"/>
  <c r="D38" i="4"/>
  <c r="B38" i="4"/>
  <c r="C40" i="4"/>
  <c r="B40" i="4"/>
  <c r="D40" i="4"/>
  <c r="D35" i="4"/>
  <c r="C35" i="4"/>
  <c r="B35" i="4"/>
  <c r="C61" i="4"/>
  <c r="B61" i="4"/>
  <c r="D61" i="4"/>
  <c r="D42" i="4"/>
  <c r="B42" i="4"/>
  <c r="C42" i="4"/>
  <c r="C58" i="4"/>
  <c r="B58" i="4"/>
  <c r="D58" i="4"/>
  <c r="C37" i="4"/>
  <c r="B37" i="4"/>
  <c r="D37" i="4"/>
  <c r="C55" i="4"/>
  <c r="B55" i="4"/>
  <c r="D55" i="4"/>
  <c r="D62" i="4"/>
  <c r="C62" i="4"/>
  <c r="B62" i="4"/>
  <c r="D51" i="4"/>
  <c r="C51" i="4"/>
  <c r="B51" i="4"/>
  <c r="C52" i="4"/>
  <c r="B52" i="4"/>
  <c r="D52" i="4"/>
  <c r="D59" i="4"/>
  <c r="C59" i="4"/>
  <c r="B59" i="4"/>
  <c r="C39" i="4"/>
  <c r="B39" i="4"/>
  <c r="D39" i="4"/>
  <c r="C49" i="4"/>
  <c r="B49" i="4"/>
  <c r="D49" i="4"/>
  <c r="D56" i="4"/>
  <c r="C56" i="4"/>
  <c r="B56" i="4"/>
  <c r="C36" i="4"/>
  <c r="B36" i="4"/>
  <c r="D36" i="4"/>
  <c r="C46" i="4"/>
  <c r="B46" i="4"/>
  <c r="D46" i="4"/>
  <c r="C53" i="4"/>
  <c r="D53" i="4"/>
  <c r="B53" i="4"/>
  <c r="D60" i="4"/>
  <c r="C60" i="4"/>
  <c r="B60" i="4"/>
  <c r="C43" i="4"/>
  <c r="B43" i="4"/>
  <c r="D43" i="4"/>
  <c r="H17" i="4"/>
  <c r="I17" i="4" s="1"/>
  <c r="G17" i="4"/>
  <c r="E17" i="4"/>
  <c r="G16" i="4"/>
  <c r="H16" i="4"/>
  <c r="I16" i="4" s="1"/>
  <c r="E16" i="4"/>
  <c r="H12" i="4"/>
  <c r="I12" i="4" s="1"/>
  <c r="G12" i="4"/>
  <c r="E12" i="4"/>
  <c r="H8" i="4"/>
  <c r="I8" i="4" s="1"/>
  <c r="G8" i="4"/>
  <c r="E8" i="4"/>
  <c r="G15" i="4"/>
  <c r="H15" i="4"/>
  <c r="I15" i="4" s="1"/>
  <c r="E15" i="4"/>
  <c r="H9" i="4"/>
  <c r="I9" i="4" s="1"/>
  <c r="G9" i="4"/>
  <c r="E9" i="4"/>
  <c r="H11" i="4"/>
  <c r="I11" i="4" s="1"/>
  <c r="G11" i="4"/>
  <c r="E11" i="4"/>
  <c r="G14" i="4"/>
  <c r="H14" i="4"/>
  <c r="I14" i="4" s="1"/>
  <c r="E14" i="4"/>
  <c r="H13" i="4"/>
  <c r="I13" i="4" s="1"/>
  <c r="G13" i="4"/>
  <c r="E13" i="4"/>
  <c r="G10" i="4"/>
  <c r="H10" i="4"/>
  <c r="I10" i="4" s="1"/>
  <c r="E10" i="4"/>
  <c r="D8" i="4"/>
  <c r="C22" i="4"/>
  <c r="D11" i="4"/>
  <c r="D17" i="4"/>
  <c r="D12" i="4"/>
  <c r="D13" i="4"/>
  <c r="D14" i="4"/>
  <c r="D15" i="4"/>
  <c r="D9" i="4"/>
  <c r="D10" i="4"/>
  <c r="D16" i="4"/>
  <c r="C23" i="4"/>
  <c r="C24" i="4"/>
  <c r="C25" i="4"/>
  <c r="C26" i="4"/>
  <c r="C27" i="4"/>
  <c r="C28" i="4"/>
  <c r="D23" i="4"/>
  <c r="E27" i="4"/>
  <c r="D22" i="4"/>
  <c r="E24" i="4"/>
  <c r="E25" i="4"/>
  <c r="E26" i="4"/>
  <c r="E28" i="4"/>
  <c r="D25" i="4"/>
  <c r="D28" i="4"/>
  <c r="E23" i="4"/>
  <c r="F27" i="4"/>
  <c r="D24" i="4"/>
  <c r="E22" i="4"/>
  <c r="F22" i="4"/>
  <c r="F24" i="4"/>
  <c r="F28" i="4"/>
  <c r="G22" i="4"/>
  <c r="G23" i="4"/>
  <c r="G24" i="4"/>
  <c r="G25" i="4"/>
  <c r="G26" i="4"/>
  <c r="G27" i="4"/>
  <c r="G28" i="4"/>
  <c r="D27" i="4"/>
  <c r="F26" i="4"/>
  <c r="D26" i="4"/>
  <c r="F23" i="4"/>
  <c r="F25" i="4"/>
  <c r="H22" i="4"/>
  <c r="H23" i="4"/>
  <c r="H24" i="4"/>
  <c r="H25" i="4"/>
  <c r="H26" i="4"/>
  <c r="H27" i="4"/>
  <c r="H28" i="4"/>
  <c r="F17" i="4"/>
  <c r="F8" i="4"/>
  <c r="F9" i="4"/>
  <c r="F10" i="4"/>
  <c r="F13" i="4"/>
  <c r="F14" i="4"/>
  <c r="F12" i="4"/>
  <c r="F15" i="4"/>
  <c r="F11" i="4"/>
  <c r="F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Lockhart</author>
  </authors>
  <commentList>
    <comment ref="L18" authorId="0" shapeId="0" xr:uid="{677F3413-E73C-4FDC-BB29-EB96DC5493BD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Amplitude of the random noise injected into every spread cell, in rate basis points. Set to 0 to freeze the marks. RANDBETWEEN is volatile, so every recalculation (F9) redraws the curve.</t>
        </r>
      </text>
    </comment>
    <comment ref="K29" authorId="0" shapeId="0" xr:uid="{874BD8D7-F501-417C-A581-2CB662E98F0D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Spread is quoted in rate basis points, consistent with the deposit and swap blocks. Because the futures quote is a price, it is rescaled before it is applied: 1bp of rate = 0.01 price ticks, with a sign flip. See the Effective Price column.</t>
        </r>
      </text>
    </comment>
    <comment ref="B72" authorId="0" shapeId="0" xr:uid="{590E647E-7F34-4B1D-9735-2D4DE0496E34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Handle returned by the VBA curve store. All Demo_ pricing functions on other tabs take this cell as their first argument.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<sst xmlns="http://schemas.openxmlformats.org/spreadsheetml/2006/main" count="185" uniqueCount="134">
  <si>
    <t>Illustrative demo marks — not live market data. Blue = input, black = formula, green = link to another sheet.</t>
  </si>
  <si>
    <t>1. VALUATION &amp; CONVENTIONS</t>
  </si>
  <si>
    <t>Valuation Date</t>
  </si>
  <si>
    <t>T+0 trade date</t>
  </si>
  <si>
    <t>Spot Lag (business days)</t>
  </si>
  <si>
    <t>Spot / Settlement Date</t>
  </si>
  <si>
    <t>Currency</t>
  </si>
  <si>
    <t>USD</t>
  </si>
  <si>
    <t>Floating Index</t>
  </si>
  <si>
    <t>SOFR</t>
  </si>
  <si>
    <t>Fixed Leg Basis</t>
  </si>
  <si>
    <t>30/360</t>
  </si>
  <si>
    <t>Floating Leg Basis</t>
  </si>
  <si>
    <t>ACT/360</t>
  </si>
  <si>
    <t>Fixed Frequency (p.a.)</t>
  </si>
  <si>
    <t>Floating Frequency (p.a.)</t>
  </si>
  <si>
    <t>Business Day Convention</t>
  </si>
  <si>
    <t>Modified Following</t>
  </si>
  <si>
    <t>Interpolation</t>
  </si>
  <si>
    <t>Linear on par rate</t>
  </si>
  <si>
    <t>Curve Name</t>
  </si>
  <si>
    <t>USD-SOFR-OIS</t>
  </si>
  <si>
    <t>Parallel Shift Applied (bp)</t>
  </si>
  <si>
    <t>Key assumption — shifts every par pillar and reprices the book</t>
  </si>
  <si>
    <t>2. CASH / OIS DEPOSITS (short end)</t>
  </si>
  <si>
    <t>Tenor</t>
  </si>
  <si>
    <t>Start</t>
  </si>
  <si>
    <t>End (unadj)</t>
  </si>
  <si>
    <t>End (adj)</t>
  </si>
  <si>
    <t>Days</t>
  </si>
  <si>
    <t>Acc Factor</t>
  </si>
  <si>
    <t>Rate</t>
  </si>
  <si>
    <t>ON</t>
  </si>
  <si>
    <t>1W</t>
  </si>
  <si>
    <t>1M</t>
  </si>
  <si>
    <t>3M</t>
  </si>
  <si>
    <t>6M</t>
  </si>
  <si>
    <t>12M</t>
  </si>
  <si>
    <t>3. SOFR FUTURES — IMM STRIP (3rd Wednesday roll)</t>
  </si>
  <si>
    <t>Contract</t>
  </si>
  <si>
    <t>Year</t>
  </si>
  <si>
    <t>Month</t>
  </si>
  <si>
    <t>IMM Start</t>
  </si>
  <si>
    <t>IMM End</t>
  </si>
  <si>
    <t>Price</t>
  </si>
  <si>
    <t>Implied Rate</t>
  </si>
  <si>
    <t>Conv Adj (bp)</t>
  </si>
  <si>
    <t>SFRZ26</t>
  </si>
  <si>
    <t>SFRH27</t>
  </si>
  <si>
    <t>SFRM27</t>
  </si>
  <si>
    <t>SFRU27</t>
  </si>
  <si>
    <t>4. PAR SWAP RATES — USD SOFR OIS (annual fixed, 30/360)</t>
  </si>
  <si>
    <t>Years</t>
  </si>
  <si>
    <t>Maturity (unadj)</t>
  </si>
  <si>
    <t>Maturity (adj)</t>
  </si>
  <si>
    <t>Fixed Pmts</t>
  </si>
  <si>
    <t>Par Rate (mkt)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</si>
  <si>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</si>
  <si>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</si>
  <si>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</si>
  <si>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</si>
  <si>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</si>
  <si>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</si>
  <si>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</si>
  <si>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</si>
  <si>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</si>
  <si>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</si>
  <si>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5. CONSOLIDATED CURVE INSTRUMENT SET — INPUT TO Demo_BuildCurve()</t>
  </si>
  <si>
    <t>Type</t>
  </si>
  <si>
    <t>Instrument</t>
  </si>
  <si>
    <t>End</t>
  </si>
  <si>
    <t>Quote (dec)</t>
  </si>
  <si>
    <t>Use</t>
  </si>
  <si>
    <t>DEPO</t>
  </si>
  <si>
    <t>FUT</t>
  </si>
  <si>
    <t>Y</t>
  </si>
  <si>
    <t>SWAP</t>
  </si>
  <si>
    <t>6. CURVE OBJECT</t>
  </si>
  <si>
    <t>Curve Handle</t>
  </si>
  <si>
    <t>Pillars Loaded</t>
  </si>
  <si>
    <t>Build Status</t>
  </si>
  <si>
    <t>Instruments Used</t>
  </si>
  <si>
    <t>1Y discount factor from the sheet bootstrap — cross-checks the VBA curve</t>
  </si>
  <si>
    <t>Fwd 1Yx1Y</t>
  </si>
  <si>
    <t>Curve Base Date</t>
  </si>
  <si>
    <t>1. PILLAR ANALYTICS — SHEET BOOTSTRAP vs Demo_ VBA CURVE OBJECT</t>
  </si>
  <si>
    <t>Yrs</t>
  </si>
  <si>
    <t>Maturity</t>
  </si>
  <si>
    <t>Mths</t>
  </si>
  <si>
    <t>Spot</t>
  </si>
  <si>
    <t>1Y fwd</t>
  </si>
  <si>
    <t>2Y fwd</t>
  </si>
  <si>
    <t>3Y fwd</t>
  </si>
  <si>
    <t>5Y fwd</t>
  </si>
  <si>
    <t>7Y fwd</t>
  </si>
  <si>
    <t>10Y fwd</t>
  </si>
  <si>
    <t>4. CHART DATA — TERM STRUCTURE (annual grid from Curve Build)</t>
  </si>
  <si>
    <t>Maturity (yrs)</t>
  </si>
  <si>
    <t>Par Rate</t>
  </si>
  <si>
    <t>Zero Rate (cont)</t>
  </si>
  <si>
    <t>Annuity</t>
  </si>
  <si>
    <t>DV01</t>
  </si>
  <si>
    <t>HOLIDAY CALENDAR — input to Demo_AdjustDate()</t>
  </si>
  <si>
    <t>Date</t>
  </si>
  <si>
    <t>Holiday</t>
  </si>
  <si>
    <t>Thanksgiving</t>
  </si>
  <si>
    <t>Christmas Day</t>
  </si>
  <si>
    <t>New Year's Day</t>
  </si>
  <si>
    <t>Martin Luther King Jr Day</t>
  </si>
  <si>
    <t>Presidents' Day</t>
  </si>
  <si>
    <t>Memorial Day</t>
  </si>
  <si>
    <t>Juneteenth (observed)</t>
  </si>
  <si>
    <t>Independence Day (observed)</t>
  </si>
  <si>
    <t>Labor Day</t>
  </si>
  <si>
    <t>Christmas Day (observed)</t>
  </si>
  <si>
    <t>Holidays loaded</t>
  </si>
  <si>
    <t>Spot Date (Demo_SpotDate check)</t>
  </si>
  <si>
    <t>VBA calendar layer — cross-checks the native WORKDAY() spot date above</t>
  </si>
  <si>
    <t>Unit (VBA)</t>
  </si>
  <si>
    <t>N (VBA)</t>
  </si>
  <si>
    <t>Maturity Date</t>
  </si>
  <si>
    <t>1Y Discount Factor</t>
  </si>
  <si>
    <t>2. FORWARD RATE MATRIX — Demo_FwdRate(CurveHandle, StartDate, EndDate)</t>
  </si>
  <si>
    <t>MARKET DATA &amp; CURVE INPUTS</t>
  </si>
  <si>
    <t>Spread (bp)</t>
  </si>
  <si>
    <t>Effective Rate</t>
  </si>
  <si>
    <t>Effective Par Rate</t>
  </si>
  <si>
    <t>Effective Price</t>
  </si>
  <si>
    <t>Noise ± (bp)</t>
  </si>
  <si>
    <t>CURVE ANALYTICS</t>
  </si>
  <si>
    <t>ZeroRate</t>
  </si>
  <si>
    <t>ParRate</t>
  </si>
  <si>
    <t>DF</t>
  </si>
  <si>
    <t>1Yx1Y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</si>
</sst>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yy"/>
    <numFmt numFmtId="165" formatCode="0.0"/>
    <numFmt numFmtId="166" formatCode="0.0000"/>
    <numFmt numFmtId="167" formatCode="0.000%"/>
    <numFmt numFmtId="168" formatCode="0.000"/>
    <numFmt numFmtId="169" formatCode="0.000000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9"/>
      <color rgb="FF808080"/>
      <name val="Aptos Narrow"/>
      <family val="2"/>
      <scheme val="minor"/>
    </font>
    <font>
      <i/>
      <sz val="9"/>
      <color rgb="FF808080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rgb="FFFFFFFF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sz val="8"/>
      <color rgb="FF80808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5C8A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3" fillId="0" borderId="0" xfId="0" applyFont="1"/>
    <xf numFmtId="0" fontId="4" fillId="0" borderId="0" xfId="0" applyFont="1"/>
    <xf numFmtId="0" fontId="5" fillId="3" borderId="0" xfId="0" applyFont="1" applyFill="1"/>
    <xf numFmtId="16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6" fillId="4" borderId="0" xfId="0" applyNumberFormat="1" applyFont="1" applyFill="1" applyAlignment="1">
      <alignment horizontal="center"/>
    </xf>
    <xf numFmtId="0" fontId="7" fillId="0" borderId="0" xfId="0" applyFont="1"/>
    <xf numFmtId="0" fontId="1" fillId="0" borderId="0" xfId="0" applyFont="1"/>
    <xf numFmtId="0" fontId="1" fillId="5" borderId="0" xfId="0" applyFont="1" applyFill="1" applyAlignment="1">
      <alignment horizontal="center"/>
    </xf>
    <xf numFmtId="0" fontId="10" fillId="6" borderId="1" xfId="0" applyFont="1" applyFill="1" applyBorder="1" applyAlignment="1">
      <alignment horizontal="center"/>
    </xf>
    <xf numFmtId="15" fontId="0" fillId="0" borderId="0" xfId="0" applyNumberFormat="1" applyAlignment="1">
      <alignment horizontal="center"/>
    </xf>
    <xf numFmtId="15" fontId="7" fillId="0" borderId="0" xfId="0" applyNumberFormat="1" applyFont="1"/>
    <xf numFmtId="15" fontId="7" fillId="0" borderId="0" xfId="0" applyNumberFormat="1" applyFont="1" applyAlignment="1">
      <alignment horizontal="center"/>
    </xf>
    <xf numFmtId="166" fontId="0" fillId="0" borderId="0" xfId="0" applyNumberFormat="1"/>
    <xf numFmtId="166" fontId="7" fillId="0" borderId="0" xfId="0" applyNumberFormat="1" applyFont="1"/>
    <xf numFmtId="167" fontId="0" fillId="0" borderId="0" xfId="0" applyNumberFormat="1"/>
    <xf numFmtId="167" fontId="7" fillId="0" borderId="0" xfId="0" applyNumberFormat="1" applyFont="1"/>
    <xf numFmtId="167" fontId="6" fillId="0" borderId="0" xfId="0" applyNumberFormat="1" applyFont="1"/>
    <xf numFmtId="168" fontId="6" fillId="0" borderId="0" xfId="0" applyNumberFormat="1" applyFont="1"/>
    <xf numFmtId="165" fontId="6" fillId="0" borderId="0" xfId="0" applyNumberFormat="1" applyFont="1"/>
    <xf numFmtId="0" fontId="2" fillId="2" borderId="0" xfId="0" applyFont="1" applyFill="1" applyAlignment="1">
      <alignment vertical="center"/>
    </xf>
    <xf numFmtId="0" fontId="10" fillId="6" borderId="0" xfId="0" applyFont="1" applyFill="1" applyAlignment="1">
      <alignment horizontal="center" wrapText="1"/>
    </xf>
    <xf numFmtId="0" fontId="10" fillId="6" borderId="2" xfId="0" applyFont="1" applyFill="1" applyBorder="1" applyAlignment="1">
      <alignment horizontal="center" wrapText="1"/>
    </xf>
    <xf numFmtId="166" fontId="0" fillId="0" borderId="3" xfId="0" applyNumberFormat="1" applyBorder="1"/>
    <xf numFmtId="167" fontId="0" fillId="0" borderId="3" xfId="0" applyNumberFormat="1" applyBorder="1"/>
    <xf numFmtId="169" fontId="0" fillId="0" borderId="3" xfId="0" applyNumberFormat="1" applyBorder="1"/>
    <xf numFmtId="166" fontId="0" fillId="0" borderId="4" xfId="0" applyNumberFormat="1" applyBorder="1"/>
    <xf numFmtId="167" fontId="0" fillId="0" borderId="4" xfId="0" applyNumberFormat="1" applyBorder="1"/>
    <xf numFmtId="169" fontId="0" fillId="0" borderId="4" xfId="0" applyNumberFormat="1" applyBorder="1"/>
    <xf numFmtId="0" fontId="10" fillId="6" borderId="5" xfId="0" applyFont="1" applyFill="1" applyBorder="1" applyAlignment="1">
      <alignment horizontal="center" wrapText="1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167" fontId="0" fillId="0" borderId="9" xfId="0" applyNumberFormat="1" applyBorder="1"/>
    <xf numFmtId="167" fontId="0" fillId="0" borderId="12" xfId="0" applyNumberFormat="1" applyBorder="1"/>
    <xf numFmtId="0" fontId="11" fillId="5" borderId="0" xfId="0" applyFont="1" applyFill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67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7" fontId="0" fillId="0" borderId="13" xfId="0" applyNumberFormat="1" applyBorder="1"/>
    <xf numFmtId="0" fontId="0" fillId="0" borderId="4" xfId="0" applyBorder="1"/>
    <xf numFmtId="0" fontId="10" fillId="6" borderId="2" xfId="0" applyFont="1" applyFill="1" applyBorder="1" applyAlignment="1">
      <alignment horizontal="center"/>
    </xf>
    <xf numFmtId="15" fontId="6" fillId="0" borderId="3" xfId="0" applyNumberFormat="1" applyFont="1" applyBorder="1" applyAlignment="1">
      <alignment horizontal="center"/>
    </xf>
    <xf numFmtId="15" fontId="6" fillId="0" borderId="4" xfId="0" applyNumberFormat="1" applyFont="1" applyBorder="1" applyAlignment="1">
      <alignment horizontal="center"/>
    </xf>
    <xf numFmtId="15" fontId="3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9" fontId="7" fillId="0" borderId="0" xfId="0" applyNumberFormat="1" applyFont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167" fontId="14" fillId="0" borderId="3" xfId="0" applyNumberFormat="1" applyFont="1" applyBorder="1" applyAlignment="1">
      <alignment horizontal="center"/>
    </xf>
    <xf numFmtId="0" fontId="10" fillId="6" borderId="3" xfId="0" applyFont="1" applyFill="1" applyBorder="1" applyAlignment="1">
      <alignment horizontal="center" wrapText="1"/>
    </xf>
    <xf numFmtId="165" fontId="6" fillId="5" borderId="4" xfId="0" applyNumberFormat="1" applyFont="1" applyFill="1" applyBorder="1" applyAlignment="1">
      <alignment horizontal="center"/>
    </xf>
    <xf numFmtId="167" fontId="14" fillId="0" borderId="4" xfId="0" applyNumberFormat="1" applyFont="1" applyBorder="1" applyAlignment="1">
      <alignment horizontal="center"/>
    </xf>
    <xf numFmtId="168" fontId="13" fillId="0" borderId="3" xfId="0" applyNumberFormat="1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2" fillId="2" borderId="0" xfId="0" applyFont="1" applyFill="1"/>
    <xf numFmtId="0" fontId="5" fillId="3" borderId="0" xfId="0" applyFont="1" applyFill="1"/>
    <xf numFmtId="0" fontId="2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SOFR OIS — Par vs Zero vs 1Yx1Y Forward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881709118344007E-2"/>
          <c:y val="0.14776965528473618"/>
          <c:w val="0.91656893952085772"/>
          <c:h val="0.66892563429571306"/>
        </c:manualLayout>
      </c:layout>
      <c:lineChart>
        <c:grouping val="standard"/>
        <c:varyColors val="0"/>
        <c:ser>
          <c:idx val="0"/>
          <c:order val="0"/>
          <c:tx>
            <c:strRef>
              <c:f>'Curve Analytics'!$B$32</c:f>
              <c:strCache>
                <c:ptCount val="1"/>
                <c:pt idx="0">
                  <c:v>Par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Analytics'!$B$33:$B$62</c:f>
              <c:numCache>
                <c:formatCode>0.000%</c:formatCode>
                <c:ptCount val="30"/>
                <c:pt idx="0">
                  <c:v>3.5440000000000041E-2</c:v>
                </c:pt>
                <c:pt idx="1">
                  <c:v>3.4458050697699028E-2</c:v>
                </c:pt>
                <c:pt idx="2">
                  <c:v>3.4734771513072978E-2</c:v>
                </c:pt>
                <c:pt idx="3">
                  <c:v>3.5407923312972198E-2</c:v>
                </c:pt>
                <c:pt idx="4">
                  <c:v>3.621279350694221E-2</c:v>
                </c:pt>
                <c:pt idx="5">
                  <c:v>3.6787202027404174E-2</c:v>
                </c:pt>
                <c:pt idx="6">
                  <c:v>3.7343827809051003E-2</c:v>
                </c:pt>
                <c:pt idx="7">
                  <c:v>3.7733428519093892E-2</c:v>
                </c:pt>
                <c:pt idx="8">
                  <c:v>3.8123638039873162E-2</c:v>
                </c:pt>
                <c:pt idx="9">
                  <c:v>3.8524088879835362E-2</c:v>
                </c:pt>
                <c:pt idx="10">
                  <c:v>3.8785939027155512E-2</c:v>
                </c:pt>
                <c:pt idx="11">
                  <c:v>3.9048163827788973E-2</c:v>
                </c:pt>
                <c:pt idx="12">
                  <c:v>3.931177781477873E-2</c:v>
                </c:pt>
                <c:pt idx="13">
                  <c:v>3.9580174021735998E-2</c:v>
                </c:pt>
                <c:pt idx="14">
                  <c:v>3.984099654084565E-2</c:v>
                </c:pt>
                <c:pt idx="15">
                  <c:v>3.9949736209656458E-2</c:v>
                </c:pt>
                <c:pt idx="16">
                  <c:v>4.0058632723299355E-2</c:v>
                </c:pt>
                <c:pt idx="17">
                  <c:v>4.017260479868761E-2</c:v>
                </c:pt>
                <c:pt idx="18">
                  <c:v>4.0281442768723238E-2</c:v>
                </c:pt>
                <c:pt idx="19">
                  <c:v>4.0387974065074737E-2</c:v>
                </c:pt>
                <c:pt idx="20">
                  <c:v>4.0334060262708589E-2</c:v>
                </c:pt>
                <c:pt idx="21">
                  <c:v>4.0283287646805374E-2</c:v>
                </c:pt>
                <c:pt idx="22">
                  <c:v>4.0229440548708265E-2</c:v>
                </c:pt>
                <c:pt idx="23">
                  <c:v>4.0175179774986143E-2</c:v>
                </c:pt>
                <c:pt idx="24">
                  <c:v>4.0121715563815767E-2</c:v>
                </c:pt>
                <c:pt idx="25">
                  <c:v>4.0070633974256184E-2</c:v>
                </c:pt>
                <c:pt idx="26">
                  <c:v>4.0016971116164778E-2</c:v>
                </c:pt>
                <c:pt idx="27">
                  <c:v>3.9963356581218218E-2</c:v>
                </c:pt>
                <c:pt idx="28">
                  <c:v>3.9909785372347219E-2</c:v>
                </c:pt>
                <c:pt idx="29">
                  <c:v>3.9859283849207852E-2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B-476B-BEAA-0FF921A5A093}"/>
            </c:ext>
          </c:extLst>
        </c:ser>
        <c:ser>
          <c:idx val="1"/>
          <c:order val="1"/>
          <c:tx>
            <c:strRef>
              <c:f>'Curve Analytics'!$C$32</c:f>
              <c:strCache>
                <c:ptCount val="1"/>
                <c:pt idx="0">
                  <c:v>Zero Rate (cont)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Analytics'!$C$33:$C$62</c:f>
              <c:numCache>
                <c:formatCode>0.000%</c:formatCode>
                <c:ptCount val="30"/>
                <c:pt idx="0">
                  <c:v>3.4826457152045701E-2</c:v>
                </c:pt>
                <c:pt idx="1">
                  <c:v>3.3816525794553513E-2</c:v>
                </c:pt>
                <c:pt idx="2">
                  <c:v>3.4112388510623412E-2</c:v>
                </c:pt>
                <c:pt idx="3">
                  <c:v>3.4805810409456517E-2</c:v>
                </c:pt>
                <c:pt idx="4">
                  <c:v>3.5639476620189514E-2</c:v>
                </c:pt>
                <c:pt idx="5">
                  <c:v>3.6220663183384794E-2</c:v>
                </c:pt>
                <c:pt idx="6">
                  <c:v>3.6810552460551378E-2</c:v>
                </c:pt>
                <c:pt idx="7">
                  <c:v>3.722270617851893E-2</c:v>
                </c:pt>
                <c:pt idx="8">
                  <c:v>3.7643077758400943E-2</c:v>
                </c:pt>
                <c:pt idx="9">
                  <c:v>3.8072933568482938E-2</c:v>
                </c:pt>
                <c:pt idx="10">
                  <c:v>3.8357924905398542E-2</c:v>
                </c:pt>
                <c:pt idx="11">
                  <c:v>3.8649854756732022E-2</c:v>
                </c:pt>
                <c:pt idx="12">
                  <c:v>3.895041023506135E-2</c:v>
                </c:pt>
                <c:pt idx="13">
                  <c:v>3.9255132885343304E-2</c:v>
                </c:pt>
                <c:pt idx="14">
                  <c:v>3.9565329760973593E-2</c:v>
                </c:pt>
                <c:pt idx="15">
                  <c:v>3.9679199948773766E-2</c:v>
                </c:pt>
                <c:pt idx="16">
                  <c:v>3.9797961824884084E-2</c:v>
                </c:pt>
                <c:pt idx="17">
                  <c:v>3.9922434291582959E-2</c:v>
                </c:pt>
                <c:pt idx="18">
                  <c:v>4.0049861964616865E-2</c:v>
                </c:pt>
                <c:pt idx="19">
                  <c:v>4.0178027299835252E-2</c:v>
                </c:pt>
                <c:pt idx="20">
                  <c:v>4.0069383564094736E-2</c:v>
                </c:pt>
                <c:pt idx="21">
                  <c:v>3.9962753486119884E-2</c:v>
                </c:pt>
                <c:pt idx="22">
                  <c:v>3.9858257974400714E-2</c:v>
                </c:pt>
                <c:pt idx="23">
                  <c:v>3.9754605056201896E-2</c:v>
                </c:pt>
                <c:pt idx="24">
                  <c:v>3.9652905343011247E-2</c:v>
                </c:pt>
                <c:pt idx="25">
                  <c:v>3.9551696352734637E-2</c:v>
                </c:pt>
                <c:pt idx="26">
                  <c:v>3.945101218661063E-2</c:v>
                </c:pt>
                <c:pt idx="27">
                  <c:v>3.9350629053089288E-2</c:v>
                </c:pt>
                <c:pt idx="28">
                  <c:v>3.9250350283837346E-2</c:v>
                </c:pt>
                <c:pt idx="29">
                  <c:v>3.9151993574131717E-2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B-476B-BEAA-0FF921A5A093}"/>
            </c:ext>
          </c:extLst>
        </c:ser>
        <c:ser>
          <c:idx val="2"/>
          <c:order val="2"/>
          <c:tx>
            <c:strRef>
              <c:f>'Curve Analytics'!$D$32</c:f>
              <c:strCache>
                <c:ptCount val="1"/>
                <c:pt idx="0">
                  <c:v>Fwd 1Yx1Y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Analytics'!$D$33:$D$62</c:f>
              <c:numCache>
                <c:formatCode>0.000%</c:formatCode>
                <c:ptCount val="30"/>
                <c:pt idx="0">
                  <c:v>3.2895640475576332E-2</c:v>
                </c:pt>
                <c:pt idx="1">
                  <c:v>3.4838988920860396E-2</c:v>
                </c:pt>
                <c:pt idx="2">
                  <c:v>3.7062030293328156E-2</c:v>
                </c:pt>
                <c:pt idx="3">
                  <c:v>3.9201506481369573E-2</c:v>
                </c:pt>
                <c:pt idx="4">
                  <c:v>3.935112614593362E-2</c:v>
                </c:pt>
                <c:pt idx="5">
                  <c:v>4.0595701896845762E-2</c:v>
                </c:pt>
                <c:pt idx="6">
                  <c:v>4.0377673039470825E-2</c:v>
                </c:pt>
                <c:pt idx="7">
                  <c:v>4.1300652419933151E-2</c:v>
                </c:pt>
                <c:pt idx="8">
                  <c:v>4.2240838464249739E-2</c:v>
                </c:pt>
                <c:pt idx="9">
                  <c:v>4.1494789215249267E-2</c:v>
                </c:pt>
                <c:pt idx="10">
                  <c:v>4.2166469755033284E-2</c:v>
                </c:pt>
                <c:pt idx="11">
                  <c:v>4.2858499613756949E-2</c:v>
                </c:pt>
                <c:pt idx="12">
                  <c:v>4.3581076929590283E-2</c:v>
                </c:pt>
                <c:pt idx="13">
                  <c:v>4.4274933198351213E-2</c:v>
                </c:pt>
                <c:pt idx="14">
                  <c:v>4.1678082157087092E-2</c:v>
                </c:pt>
                <c:pt idx="15">
                  <c:v>4.1997784830843474E-2</c:v>
                </c:pt>
                <c:pt idx="16">
                  <c:v>4.2330729826415427E-2</c:v>
                </c:pt>
                <c:pt idx="17">
                  <c:v>4.2670283708397386E-2</c:v>
                </c:pt>
                <c:pt idx="18">
                  <c:v>4.293352407463949E-2</c:v>
                </c:pt>
                <c:pt idx="19">
                  <c:v>3.809312205887961E-2</c:v>
                </c:pt>
                <c:pt idx="20">
                  <c:v>3.7924201402819241E-2</c:v>
                </c:pt>
                <c:pt idx="21">
                  <c:v>3.7747568504432664E-2</c:v>
                </c:pt>
                <c:pt idx="22">
                  <c:v>3.7568586728178692E-2</c:v>
                </c:pt>
                <c:pt idx="23">
                  <c:v>3.7384135954007539E-2</c:v>
                </c:pt>
                <c:pt idx="24">
                  <c:v>3.719804932631577E-2</c:v>
                </c:pt>
                <c:pt idx="25">
                  <c:v>3.7004024676969692E-2</c:v>
                </c:pt>
                <c:pt idx="26">
                  <c:v>3.6806613680305168E-2</c:v>
                </c:pt>
                <c:pt idx="27">
                  <c:v>3.6604326659568337E-2</c:v>
                </c:pt>
                <c:pt idx="28">
                  <c:v>3.6468006519993372E-2</c:v>
                </c:pt>
                <c:pt idx="29">
                  <c:v>3.9381567872810393E-2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6B-476B-BEAA-0FF921A5A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882448"/>
        <c:axId val="890104688"/>
      </c:lineChart>
      <c:catAx>
        <c:axId val="89888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104688"/>
        <c:crosses val="autoZero"/>
        <c:auto val="1"/>
        <c:lblAlgn val="ctr"/>
        <c:lblOffset val="100"/>
        <c:noMultiLvlLbl val="0"/>
      </c:catAx>
      <c:valAx>
        <c:axId val="890104688"/>
        <c:scaling>
          <c:orientation val="minMax"/>
          <c:max val="0.05"/>
          <c:min val="0.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88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4</xdr:row>
      <xdr:rowOff>161925</xdr:rowOff>
    </xdr:from>
    <xdr:to>
      <xdr:col>15</xdr:col>
      <xdr:colOff>247650</xdr:colOff>
      <xdr:row>25</xdr:row>
      <xdr:rowOff>152400</xdr:rowOff>
    </xdr:to>
    <xdr:graphicFrame macro="">
      <xdr:nvGraphicFramePr>
        <xdr:cNvPr id="4" name="CurveChart">
          <a:extLst>
            <a:ext uri="{FF2B5EF4-FFF2-40B4-BE49-F238E27FC236}">
              <a16:creationId xmlns:a16="http://schemas.microsoft.com/office/drawing/2014/main" id="{B2AFE580-453D-4CF7-843D-E77964808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3450183-05A1-4F94-AD67-4061E9996416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a52b5cf-09bf-440d-94a2-0e77e440393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42FB-3604-46F6-96B1-4ECC58CA7616}">
  <sheetPr codeName="Sheet1"/>
  <dimension ref="A1:O76"/>
  <sheetViews>
    <sheetView showGridLines="0" workbookViewId="0">
      <pane ySplit="2" topLeftCell="A15" activePane="bottomLeft" state="frozen"/>
      <selection pane="bottomLeft" activeCell="B18" sqref="B18"/>
    </sheetView>
  </sheetViews>
  <sheetFormatPr defaultRowHeight="15" x14ac:dyDescent="0.25"/>
  <cols>
    <col min="1" max="1" width="28.5703125" customWidth="1"/>
    <col min="2" max="10" width="14.85546875" customWidth="1"/>
    <col min="11" max="11" width="13.28515625" customWidth="1"/>
    <col min="12" max="13" width="17.5703125" customWidth="1"/>
    <col min="14" max="14" width="16.7109375" customWidth="1"/>
    <col min="15" max="15" width="64.7109375" customWidth="1"/>
    <col min="16" max="16" width="19" customWidth="1"/>
  </cols>
  <sheetData>
    <row r="1" spans="1:15" ht="21.95" customHeight="1" x14ac:dyDescent="0.25">
      <c r="A1" s="70" t="s">
        <v>123</v>
      </c>
      <c r="B1" s="70"/>
      <c r="C1" s="70"/>
      <c r="D1" s="70"/>
      <c r="E1" s="70"/>
      <c r="F1" s="70"/>
      <c r="G1" s="70"/>
      <c r="H1" s="70"/>
      <c r="I1" s="70"/>
      <c r="J1" s="70"/>
    </row>
    <row r="2" spans="1:15" x14ac:dyDescent="0.25">
      <c r="A2" s="2" t="s">
        <v>0</v>
      </c>
    </row>
    <row r="4" spans="1:15" x14ac:dyDescent="0.25">
      <c r="A4" s="69" t="s">
        <v>1</v>
      </c>
      <c r="B4" s="69"/>
      <c r="C4" s="69"/>
      <c r="D4" s="69"/>
      <c r="E4" s="69"/>
      <c r="F4" s="69"/>
      <c r="G4" s="69"/>
      <c r="H4" s="69"/>
      <c r="I4" s="69"/>
      <c r="J4" s="69"/>
      <c r="N4" s="69" t="s">
        <v>102</v>
      </c>
      <c r="O4" s="69"/>
    </row>
    <row r="5" spans="1:15" x14ac:dyDescent="0.25">
      <c r="A5" t="s">
        <v>2</v>
      </c>
      <c r="B5" s="4">
        <v>46280</v>
      </c>
      <c r="C5" s="1" t="s">
        <v>3</v>
      </c>
      <c r="N5" s="50" t="s">
        <v>103</v>
      </c>
      <c r="O5" s="50" t="s">
        <v>104</v>
      </c>
    </row>
    <row r="6" spans="1:15" x14ac:dyDescent="0.25">
      <c r="A6" t="s">
        <v>4</v>
      </c>
      <c r="B6" s="5">
        <v>2</v>
      </c>
      <c r="N6" s="51">
        <v>46352</v>
      </c>
      <c r="O6" s="38" t="s">
        <v>105</v>
      </c>
    </row>
    <row r="7" spans="1:15" x14ac:dyDescent="0.25">
      <c r="A7" t="s">
        <v>5</v>
      </c>
      <c r="B7" s="7">
        <f>WORKDAY(B5,B6)</f>
        <v>46282</v>
      </c>
      <c r="C7" s="1" t="str">
        <f>TEXT(B7,"dddd")&amp;" — "&amp;(B7-B5)&amp;" calendar days"</f>
        <v>Thursday — 2 calendar days</v>
      </c>
      <c r="N7" s="51">
        <v>46381</v>
      </c>
      <c r="O7" s="38" t="s">
        <v>106</v>
      </c>
    </row>
    <row r="8" spans="1:15" x14ac:dyDescent="0.25">
      <c r="A8" t="s">
        <v>6</v>
      </c>
      <c r="B8" s="5" t="s">
        <v>7</v>
      </c>
      <c r="N8" s="51">
        <v>46388</v>
      </c>
      <c r="O8" s="38" t="s">
        <v>107</v>
      </c>
    </row>
    <row r="9" spans="1:15" x14ac:dyDescent="0.25">
      <c r="A9" t="s">
        <v>8</v>
      </c>
      <c r="B9" s="5" t="s">
        <v>9</v>
      </c>
      <c r="N9" s="51">
        <v>46405</v>
      </c>
      <c r="O9" s="38" t="s">
        <v>108</v>
      </c>
    </row>
    <row r="10" spans="1:15" x14ac:dyDescent="0.25">
      <c r="A10" t="s">
        <v>10</v>
      </c>
      <c r="B10" s="5" t="s">
        <v>11</v>
      </c>
      <c r="C10" s="1"/>
      <c r="D10" s="5">
        <v>0</v>
      </c>
      <c r="E10" s="1" t="str">
        <f>"YEARFRAC basis code "&amp;D10</f>
        <v>YEARFRAC basis code 0</v>
      </c>
      <c r="N10" s="51">
        <v>46433</v>
      </c>
      <c r="O10" s="38" t="s">
        <v>109</v>
      </c>
    </row>
    <row r="11" spans="1:15" x14ac:dyDescent="0.25">
      <c r="A11" t="s">
        <v>12</v>
      </c>
      <c r="B11" s="5" t="s">
        <v>13</v>
      </c>
      <c r="C11" s="1"/>
      <c r="D11" s="5">
        <v>2</v>
      </c>
      <c r="E11" s="1" t="str">
        <f>"YEARFRAC basis code "&amp;D11</f>
        <v>YEARFRAC basis code 2</v>
      </c>
      <c r="N11" s="51">
        <v>46538</v>
      </c>
      <c r="O11" s="38" t="s">
        <v>110</v>
      </c>
    </row>
    <row r="12" spans="1:15" x14ac:dyDescent="0.25">
      <c r="A12" t="s">
        <v>14</v>
      </c>
      <c r="B12" s="5">
        <v>1</v>
      </c>
      <c r="N12" s="51">
        <v>46556</v>
      </c>
      <c r="O12" s="38" t="s">
        <v>111</v>
      </c>
    </row>
    <row r="13" spans="1:15" x14ac:dyDescent="0.25">
      <c r="A13" t="s">
        <v>15</v>
      </c>
      <c r="B13" s="5">
        <v>4</v>
      </c>
      <c r="N13" s="51">
        <v>46573</v>
      </c>
      <c r="O13" s="38" t="s">
        <v>112</v>
      </c>
    </row>
    <row r="14" spans="1:15" x14ac:dyDescent="0.25">
      <c r="A14" t="s">
        <v>16</v>
      </c>
      <c r="B14" s="5" t="s">
        <v>17</v>
      </c>
      <c r="N14" s="51">
        <v>46636</v>
      </c>
      <c r="O14" s="38" t="s">
        <v>113</v>
      </c>
    </row>
    <row r="15" spans="1:15" x14ac:dyDescent="0.25">
      <c r="A15" t="s">
        <v>18</v>
      </c>
      <c r="B15" s="5" t="s">
        <v>19</v>
      </c>
      <c r="N15" s="51">
        <v>46716</v>
      </c>
      <c r="O15" s="38" t="s">
        <v>105</v>
      </c>
    </row>
    <row r="16" spans="1:15" x14ac:dyDescent="0.25">
      <c r="A16" t="s">
        <v>20</v>
      </c>
      <c r="B16" s="5" t="s">
        <v>21</v>
      </c>
      <c r="N16" s="52">
        <v>46745</v>
      </c>
      <c r="O16" s="49" t="s">
        <v>114</v>
      </c>
    </row>
    <row r="17" spans="1:15" x14ac:dyDescent="0.25">
      <c r="A17" t="s">
        <v>22</v>
      </c>
      <c r="B17" s="8">
        <v>0</v>
      </c>
      <c r="C17" s="1" t="s">
        <v>23</v>
      </c>
    </row>
    <row r="18" spans="1:15" x14ac:dyDescent="0.25">
      <c r="A18" t="s">
        <v>116</v>
      </c>
      <c r="B18" s="7" cm="1">
        <f t="array" ref="B18">Demo_SpotDate($B$5,$B$6,$N$6:$N$16)</f>
        <v>46282</v>
      </c>
      <c r="C18" s="1" t="s">
        <v>117</v>
      </c>
      <c r="K18" s="63" t="s">
        <v>128</v>
      </c>
      <c r="L18" s="8">
        <v>2</v>
      </c>
      <c r="N18" s="10" t="s">
        <v>115</v>
      </c>
      <c r="O18" s="6" cm="1">
        <f t="array" ref="O18">IFERROR(Demo_HolidayCount($N$6:$N$16),"n/a")</f>
        <v>11</v>
      </c>
    </row>
    <row r="19" spans="1:15" x14ac:dyDescent="0.25">
      <c r="A19" s="69" t="s">
        <v>24</v>
      </c>
      <c r="B19" s="69"/>
      <c r="C19" s="69"/>
      <c r="D19" s="69"/>
      <c r="E19" s="69"/>
      <c r="F19" s="69"/>
      <c r="G19" s="69"/>
      <c r="H19" s="69"/>
      <c r="I19" s="69"/>
      <c r="J19" s="69"/>
    </row>
    <row r="20" spans="1:15" x14ac:dyDescent="0.25">
      <c r="A20" s="12" t="s">
        <v>25</v>
      </c>
      <c r="B20" s="12" t="s">
        <v>118</v>
      </c>
      <c r="C20" s="12" t="s">
        <v>119</v>
      </c>
      <c r="D20" s="12" t="s">
        <v>26</v>
      </c>
      <c r="E20" s="12" t="s">
        <v>27</v>
      </c>
      <c r="F20" s="12" t="s">
        <v>28</v>
      </c>
      <c r="G20" s="12" t="s">
        <v>29</v>
      </c>
      <c r="H20" s="12" t="s">
        <v>30</v>
      </c>
      <c r="I20" s="12" t="s">
        <v>31</v>
      </c>
      <c r="K20" s="25" t="s">
        <v>124</v>
      </c>
      <c r="L20" s="25" t="s">
        <v>125</v>
      </c>
    </row>
    <row r="21" spans="1:15" x14ac:dyDescent="0.25">
      <c r="A21" t="s">
        <v>32</v>
      </c>
      <c r="B21" s="6" t="str" cm="1">
        <f t="array" ref="B21">Demo_TenorUnit($A21)</f>
        <v>D</v>
      </c>
      <c r="C21" s="6" cm="1">
        <f t="array" ref="C21">Demo_TenorNum($A21)</f>
        <v>1</v>
      </c>
      <c r="D21" s="13">
        <f>IF($A21="ON",$B$5,$B$7)</f>
        <v>46280</v>
      </c>
      <c r="E21" s="13" cm="1">
        <f t="array" ref="E21">Demo_AddTenor($D21,$A21,$N$6:$N$16)</f>
        <v>46281</v>
      </c>
      <c r="F21" s="13" cm="1">
        <f t="array" ref="F21">Demo_AdjustDate($E21,$B$14,$N$6:$N$16)</f>
        <v>46281</v>
      </c>
      <c r="G21">
        <f>F21-D21</f>
        <v>1</v>
      </c>
      <c r="H21" s="16" cm="1">
        <f t="array" ref="H21">Demo_YearFrac($D21,$F21,$B$11)</f>
        <v>2.7777777777777779E-3</v>
      </c>
      <c r="I21" s="20">
        <v>3.85E-2</v>
      </c>
      <c r="K21" s="57">
        <f ca="1">RANDBETWEEN(-$L$18*10,$L$18*10)/10</f>
        <v>0.2</v>
      </c>
      <c r="L21" s="58">
        <f ca="1">$I21+($K21+$B$17)/10000</f>
        <v>3.8519999999999999E-2</v>
      </c>
    </row>
    <row r="22" spans="1:15" x14ac:dyDescent="0.25">
      <c r="A22" t="s">
        <v>33</v>
      </c>
      <c r="B22" t="str" cm="1">
        <f t="array" ref="B22">Demo_TenorUnit($A22)</f>
        <v>W</v>
      </c>
      <c r="C22" cm="1">
        <f t="array" ref="C22">Demo_TenorNum($A22)</f>
        <v>1</v>
      </c>
      <c r="D22" s="13">
        <f t="shared" ref="D22:D26" si="0">IF($A22="ON",$B$5,$B$7)</f>
        <v>46282</v>
      </c>
      <c r="E22" s="13" cm="1">
        <f t="array" ref="E22">Demo_AddTenor($D22,$A22,$N$6:$N$16)</f>
        <v>46289</v>
      </c>
      <c r="F22" s="13" cm="1">
        <f t="array" ref="F22">Demo_AdjustDate($E22,$B$14,$N$6:$N$16)</f>
        <v>46289</v>
      </c>
      <c r="G22">
        <f t="shared" ref="G22:G26" si="1">F22-D22</f>
        <v>7</v>
      </c>
      <c r="H22" s="16" cm="1">
        <f t="array" ref="H22">Demo_YearFrac($D22,$F22,$B$11)</f>
        <v>1.9444444444444445E-2</v>
      </c>
      <c r="I22" s="20">
        <v>3.8199999999999998E-2</v>
      </c>
      <c r="K22" s="57">
        <f t="shared" ref="K22:K26" ca="1" si="2">RANDBETWEEN(-$L$18*10,$L$18*10)/10</f>
        <v>1.5</v>
      </c>
      <c r="L22" s="58">
        <f t="shared" ref="L22:L26" ca="1" si="3">$I22+($K22+$B$17)/10000</f>
        <v>3.8349999999999995E-2</v>
      </c>
    </row>
    <row r="23" spans="1:15" x14ac:dyDescent="0.25">
      <c r="A23" t="s">
        <v>34</v>
      </c>
      <c r="B23" t="str" cm="1">
        <f t="array" ref="B23">Demo_TenorUnit($A23)</f>
        <v>M</v>
      </c>
      <c r="C23" cm="1">
        <f t="array" ref="C23">Demo_TenorNum($A23)</f>
        <v>1</v>
      </c>
      <c r="D23" s="13">
        <f t="shared" si="0"/>
        <v>46282</v>
      </c>
      <c r="E23" s="13" cm="1">
        <f t="array" ref="E23">Demo_AddTenor($D23,$A23,$N$6:$N$16)</f>
        <v>46312</v>
      </c>
      <c r="F23" s="13" cm="1">
        <f t="array" ref="F23">Demo_AdjustDate($E23,$B$14,$N$6:$N$16)</f>
        <v>46314</v>
      </c>
      <c r="G23">
        <f t="shared" si="1"/>
        <v>32</v>
      </c>
      <c r="H23" s="16" cm="1">
        <f t="array" ref="H23">Demo_YearFrac($D23,$F23,$B$11)</f>
        <v>8.8888888888888892E-2</v>
      </c>
      <c r="I23" s="20">
        <v>3.7999999999999999E-2</v>
      </c>
      <c r="K23" s="57">
        <f t="shared" ca="1" si="2"/>
        <v>1.2</v>
      </c>
      <c r="L23" s="58">
        <f t="shared" ca="1" si="3"/>
        <v>3.8120000000000001E-2</v>
      </c>
    </row>
    <row r="24" spans="1:15" x14ac:dyDescent="0.25">
      <c r="A24" t="s">
        <v>35</v>
      </c>
      <c r="B24" t="str" cm="1">
        <f t="array" ref="B24">Demo_TenorUnit($A24)</f>
        <v>M</v>
      </c>
      <c r="C24" cm="1">
        <f t="array" ref="C24">Demo_TenorNum($A24)</f>
        <v>3</v>
      </c>
      <c r="D24" s="13">
        <f t="shared" si="0"/>
        <v>46282</v>
      </c>
      <c r="E24" s="13" cm="1">
        <f t="array" ref="E24">Demo_AddTenor($D24,$A24,$N$6:$N$16)</f>
        <v>46373</v>
      </c>
      <c r="F24" s="13" cm="1">
        <f t="array" ref="F24">Demo_AdjustDate($E24,$B$14,$N$6:$N$16)</f>
        <v>46373</v>
      </c>
      <c r="G24">
        <f t="shared" si="1"/>
        <v>91</v>
      </c>
      <c r="H24" s="16" cm="1">
        <f t="array" ref="H24">Demo_YearFrac($D24,$F24,$B$11)</f>
        <v>0.25277777777777777</v>
      </c>
      <c r="I24" s="20">
        <v>3.7199999999999997E-2</v>
      </c>
      <c r="K24" s="57">
        <f t="shared" ca="1" si="2"/>
        <v>-1.3</v>
      </c>
      <c r="L24" s="58">
        <f t="shared" ca="1" si="3"/>
        <v>3.7069999999999999E-2</v>
      </c>
    </row>
    <row r="25" spans="1:15" x14ac:dyDescent="0.25">
      <c r="A25" t="s">
        <v>36</v>
      </c>
      <c r="B25" t="str" cm="1">
        <f t="array" ref="B25">Demo_TenorUnit($A25)</f>
        <v>M</v>
      </c>
      <c r="C25" cm="1">
        <f t="array" ref="C25">Demo_TenorNum($A25)</f>
        <v>6</v>
      </c>
      <c r="D25" s="13">
        <f t="shared" si="0"/>
        <v>46282</v>
      </c>
      <c r="E25" s="13" cm="1">
        <f t="array" ref="E25">Demo_AddTenor($D25,$A25,$N$6:$N$16)</f>
        <v>46463</v>
      </c>
      <c r="F25" s="13" cm="1">
        <f t="array" ref="F25">Demo_AdjustDate($E25,$B$14,$N$6:$N$16)</f>
        <v>46463</v>
      </c>
      <c r="G25">
        <f t="shared" si="1"/>
        <v>181</v>
      </c>
      <c r="H25" s="16" cm="1">
        <f t="array" ref="H25">Demo_YearFrac($D25,$F25,$B$11)</f>
        <v>0.50277777777777777</v>
      </c>
      <c r="I25" s="20">
        <v>3.6499999999999998E-2</v>
      </c>
      <c r="K25" s="57">
        <f t="shared" ca="1" si="2"/>
        <v>0.3</v>
      </c>
      <c r="L25" s="58">
        <f t="shared" ca="1" si="3"/>
        <v>3.653E-2</v>
      </c>
    </row>
    <row r="26" spans="1:15" x14ac:dyDescent="0.25">
      <c r="A26" t="s">
        <v>37</v>
      </c>
      <c r="B26" t="str" cm="1">
        <f t="array" ref="B26">Demo_TenorUnit($A26)</f>
        <v>M</v>
      </c>
      <c r="C26" cm="1">
        <f t="array" ref="C26">Demo_TenorNum($A26)</f>
        <v>12</v>
      </c>
      <c r="D26" s="13">
        <f t="shared" si="0"/>
        <v>46282</v>
      </c>
      <c r="E26" s="13" cm="1">
        <f t="array" ref="E26">Demo_AddTenor($D26,$A26,$N$6:$N$16)</f>
        <v>46647</v>
      </c>
      <c r="F26" s="13" cm="1">
        <f t="array" ref="F26">Demo_AdjustDate($E26,$B$14,$N$6:$N$16)</f>
        <v>46647</v>
      </c>
      <c r="G26">
        <f t="shared" si="1"/>
        <v>365</v>
      </c>
      <c r="H26" s="16" cm="1">
        <f t="array" ref="H26">Demo_YearFrac($D26,$F26,$B$11)</f>
        <v>1.0138888888888888</v>
      </c>
      <c r="I26" s="20">
        <v>3.5499999999999997E-2</v>
      </c>
      <c r="K26" s="57">
        <f t="shared" ca="1" si="2"/>
        <v>-0.8</v>
      </c>
      <c r="L26" s="58">
        <f t="shared" ca="1" si="3"/>
        <v>3.542E-2</v>
      </c>
    </row>
    <row r="27" spans="1:15" x14ac:dyDescent="0.25">
      <c r="K27" s="38"/>
      <c r="L27" s="38"/>
    </row>
    <row r="28" spans="1:15" x14ac:dyDescent="0.25">
      <c r="A28" s="69" t="s">
        <v>38</v>
      </c>
      <c r="B28" s="69"/>
      <c r="C28" s="69"/>
      <c r="D28" s="69"/>
      <c r="E28" s="69"/>
      <c r="F28" s="69"/>
      <c r="G28" s="69"/>
      <c r="H28" s="69"/>
      <c r="I28" s="69"/>
      <c r="J28" s="69"/>
      <c r="K28" s="38"/>
      <c r="L28" s="38"/>
    </row>
    <row r="29" spans="1:15" ht="30" x14ac:dyDescent="0.25">
      <c r="A29" s="12" t="s">
        <v>39</v>
      </c>
      <c r="B29" s="12" t="s">
        <v>40</v>
      </c>
      <c r="C29" s="12" t="s">
        <v>41</v>
      </c>
      <c r="D29" s="12" t="s">
        <v>42</v>
      </c>
      <c r="E29" s="12" t="s">
        <v>43</v>
      </c>
      <c r="F29" s="12" t="s">
        <v>29</v>
      </c>
      <c r="G29" s="12" t="s">
        <v>30</v>
      </c>
      <c r="H29" s="12" t="s">
        <v>44</v>
      </c>
      <c r="I29" s="12" t="s">
        <v>45</v>
      </c>
      <c r="J29" s="12" t="s">
        <v>46</v>
      </c>
      <c r="K29" s="59" t="s">
        <v>124</v>
      </c>
      <c r="L29" s="59" t="s">
        <v>127</v>
      </c>
      <c r="M29" s="25" t="s">
        <v>125</v>
      </c>
    </row>
    <row r="30" spans="1:15" x14ac:dyDescent="0.25">
      <c r="A30" t="s">
        <v>47</v>
      </c>
      <c r="B30">
        <v>2026</v>
      </c>
      <c r="C30">
        <v>12</v>
      </c>
      <c r="D30" s="13" cm="1">
        <f t="array" ref="D30">Demo_IMMDate($B30,$C30)</f>
        <v>46372</v>
      </c>
      <c r="E30" s="13" cm="1">
        <f t="array" ref="E30">Demo_IMMRoll($D30,1)</f>
        <v>46463</v>
      </c>
      <c r="F30">
        <f>E30-D30</f>
        <v>91</v>
      </c>
      <c r="G30" s="16" cm="1">
        <f t="array" ref="G30">Demo_YearFrac($D30,$E30,$B$11)</f>
        <v>0.25277777777777777</v>
      </c>
      <c r="H30" s="21">
        <v>96.48</v>
      </c>
      <c r="I30" s="18">
        <f>(100-H30)/100-J30/10000</f>
        <v>3.5179999999999961E-2</v>
      </c>
      <c r="J30" s="22">
        <v>0.2</v>
      </c>
      <c r="K30" s="57">
        <f ca="1">RANDBETWEEN(-$L$18*10,$L$18*10)/10</f>
        <v>0.8</v>
      </c>
      <c r="L30" s="62">
        <f ca="1">$H30-$K30/100</f>
        <v>96.472000000000008</v>
      </c>
      <c r="M30" s="58">
        <f ca="1">(100-$L30)/100-$J30/10000+$B$17/10000</f>
        <v>3.5259999999999916E-2</v>
      </c>
    </row>
    <row r="31" spans="1:15" x14ac:dyDescent="0.25">
      <c r="A31" t="s">
        <v>48</v>
      </c>
      <c r="B31">
        <v>2027</v>
      </c>
      <c r="C31">
        <v>3</v>
      </c>
      <c r="D31" s="13" cm="1">
        <f t="array" ref="D31">Demo_IMMDate($B31,$C31)</f>
        <v>46463</v>
      </c>
      <c r="E31" s="13" cm="1">
        <f t="array" ref="E31">Demo_IMMRoll($D31,1)</f>
        <v>46554</v>
      </c>
      <c r="F31">
        <f t="shared" ref="F31:F33" si="4">E31-D31</f>
        <v>91</v>
      </c>
      <c r="G31" s="16" cm="1">
        <f t="array" ref="G31">Demo_YearFrac($D31,$E31,$B$11)</f>
        <v>0.25277777777777777</v>
      </c>
      <c r="H31" s="21">
        <v>96.55</v>
      </c>
      <c r="I31" s="18">
        <f t="shared" ref="I31:I33" si="5">(100-H31)/100-J31/10000</f>
        <v>3.4460000000000032E-2</v>
      </c>
      <c r="J31" s="22">
        <v>0.4</v>
      </c>
      <c r="K31" s="57">
        <f t="shared" ref="K31:K33" ca="1" si="6">RANDBETWEEN(-$L$18*10,$L$18*10)/10</f>
        <v>0.3</v>
      </c>
      <c r="L31" s="62">
        <f t="shared" ref="L31:L33" ca="1" si="7">$H31-$K31/100</f>
        <v>96.546999999999997</v>
      </c>
      <c r="M31" s="58">
        <f t="shared" ref="M31:M33" ca="1" si="8">(100-$L31)/100-$J31/10000+$B$17/10000</f>
        <v>3.4490000000000035E-2</v>
      </c>
    </row>
    <row r="32" spans="1:15" x14ac:dyDescent="0.25">
      <c r="A32" t="s">
        <v>49</v>
      </c>
      <c r="B32">
        <v>2027</v>
      </c>
      <c r="C32">
        <v>6</v>
      </c>
      <c r="D32" s="13" cm="1">
        <f t="array" ref="D32">Demo_IMMDate($B32,$C32)</f>
        <v>46554</v>
      </c>
      <c r="E32" s="13" cm="1">
        <f t="array" ref="E32">Demo_IMMRoll($D32,1)</f>
        <v>46645</v>
      </c>
      <c r="F32">
        <f t="shared" si="4"/>
        <v>91</v>
      </c>
      <c r="G32" s="16" cm="1">
        <f t="array" ref="G32">Demo_YearFrac($D32,$E32,$B$11)</f>
        <v>0.25277777777777777</v>
      </c>
      <c r="H32" s="21">
        <v>96.58</v>
      </c>
      <c r="I32" s="18">
        <f t="shared" si="5"/>
        <v>3.4130000000000014E-2</v>
      </c>
      <c r="J32" s="22">
        <v>0.7</v>
      </c>
      <c r="K32" s="57">
        <f t="shared" ca="1" si="6"/>
        <v>-1.9</v>
      </c>
      <c r="L32" s="62">
        <f t="shared" ca="1" si="7"/>
        <v>96.599000000000004</v>
      </c>
      <c r="M32" s="58">
        <f t="shared" ca="1" si="8"/>
        <v>3.3939999999999963E-2</v>
      </c>
    </row>
    <row r="33" spans="1:13" x14ac:dyDescent="0.25">
      <c r="A33" t="s">
        <v>50</v>
      </c>
      <c r="B33">
        <v>2027</v>
      </c>
      <c r="C33">
        <v>9</v>
      </c>
      <c r="D33" s="13" cm="1">
        <f t="array" ref="D33">Demo_IMMDate($B33,$C33)</f>
        <v>46645</v>
      </c>
      <c r="E33" s="13" cm="1">
        <f t="array" ref="E33">Demo_IMMRoll($D33,1)</f>
        <v>46736</v>
      </c>
      <c r="F33">
        <f t="shared" si="4"/>
        <v>91</v>
      </c>
      <c r="G33" s="16" cm="1">
        <f t="array" ref="G33">Demo_YearFrac($D33,$E33,$B$11)</f>
        <v>0.25277777777777777</v>
      </c>
      <c r="H33" s="21">
        <v>96.55</v>
      </c>
      <c r="I33" s="18">
        <f t="shared" si="5"/>
        <v>3.4390000000000032E-2</v>
      </c>
      <c r="J33" s="22">
        <v>1.1000000000000001</v>
      </c>
      <c r="K33" s="57">
        <f t="shared" ca="1" si="6"/>
        <v>1.3</v>
      </c>
      <c r="L33" s="62">
        <f t="shared" ca="1" si="7"/>
        <v>96.536999999999992</v>
      </c>
      <c r="M33" s="61">
        <f t="shared" ca="1" si="8"/>
        <v>3.4520000000000078E-2</v>
      </c>
    </row>
    <row r="34" spans="1:13" x14ac:dyDescent="0.25">
      <c r="K34" s="38"/>
      <c r="L34" s="38"/>
    </row>
    <row r="35" spans="1:13" x14ac:dyDescent="0.25">
      <c r="A35" s="69" t="s">
        <v>51</v>
      </c>
      <c r="B35" s="69"/>
      <c r="C35" s="69"/>
      <c r="D35" s="69"/>
      <c r="E35" s="69"/>
      <c r="F35" s="69"/>
      <c r="G35" s="69"/>
      <c r="H35" s="69"/>
      <c r="I35" s="69"/>
      <c r="J35" s="69"/>
      <c r="K35" s="38"/>
      <c r="L35" s="38"/>
    </row>
    <row r="36" spans="1:13" ht="30" x14ac:dyDescent="0.25">
      <c r="A36" s="12" t="s">
        <v>25</v>
      </c>
      <c r="B36" s="12" t="s">
        <v>52</v>
      </c>
      <c r="C36" s="12" t="s">
        <v>26</v>
      </c>
      <c r="D36" s="12" t="s">
        <v>53</v>
      </c>
      <c r="E36" s="12" t="s">
        <v>54</v>
      </c>
      <c r="F36" s="12" t="s">
        <v>29</v>
      </c>
      <c r="G36" s="12" t="s">
        <v>30</v>
      </c>
      <c r="H36" s="12" t="s">
        <v>55</v>
      </c>
      <c r="I36" s="12" t="s">
        <v>56</v>
      </c>
      <c r="K36" s="59" t="s">
        <v>124</v>
      </c>
      <c r="L36" s="59" t="s">
        <v>126</v>
      </c>
    </row>
    <row r="37" spans="1:13" x14ac:dyDescent="0.25">
      <c r="A37" t="s">
        <v>57</v>
      </c>
      <c r="B37">
        <v>1</v>
      </c>
      <c r="C37" s="13">
        <f>$B$7</f>
        <v>46282</v>
      </c>
      <c r="D37" s="13" cm="1">
        <f t="array" ref="D37">Demo_AddTenor($C37,$A37,$N$6:$N$16)</f>
        <v>46647</v>
      </c>
      <c r="E37" s="13" cm="1">
        <f t="array" ref="E37">Demo_AdjustDate($D37,$B$14,$N$6:$N$16)</f>
        <v>46647</v>
      </c>
      <c r="F37">
        <f>E37-C37</f>
        <v>365</v>
      </c>
      <c r="G37" s="16" cm="1">
        <f t="array" ref="G37">Demo_YearFrac($C37,$E37,$B$10)</f>
        <v>1</v>
      </c>
      <c r="H37">
        <f>$B$12*$B37</f>
        <v>1</v>
      </c>
      <c r="I37" s="20">
        <v>3.5499999999999997E-2</v>
      </c>
      <c r="K37" s="57">
        <f ca="1">RANDBETWEEN(-$L$18*10,$L$18*10)/10</f>
        <v>-0.6</v>
      </c>
      <c r="L37" s="58">
        <f ca="1">$I37+($K37+$B$17)/10000</f>
        <v>3.5439999999999999E-2</v>
      </c>
    </row>
    <row r="38" spans="1:13" x14ac:dyDescent="0.25">
      <c r="A38" t="s">
        <v>58</v>
      </c>
      <c r="B38">
        <v>2</v>
      </c>
      <c r="C38" s="13">
        <f t="shared" ref="C38:C46" si="9">$B$7</f>
        <v>46282</v>
      </c>
      <c r="D38" s="13" cm="1">
        <f t="array" ref="D38">Demo_AddTenor($C38,$A38,$N$6:$N$16)</f>
        <v>47013</v>
      </c>
      <c r="E38" s="13" cm="1">
        <f t="array" ref="E38">Demo_AdjustDate($D38,$B$14,$N$6:$N$16)</f>
        <v>47014</v>
      </c>
      <c r="F38">
        <f t="shared" ref="F38:F46" si="10">E38-C38</f>
        <v>732</v>
      </c>
      <c r="G38" s="16" cm="1">
        <f t="array" ref="G38">Demo_YearFrac($C38,$E38,$B$10)</f>
        <v>2.0027777777777778</v>
      </c>
      <c r="H38">
        <f t="shared" ref="H38:H46" si="11">$B$12*$B38</f>
        <v>2</v>
      </c>
      <c r="I38" s="20">
        <v>3.4500000000000003E-2</v>
      </c>
      <c r="K38" s="57">
        <f t="shared" ref="K38:K46" ca="1" si="12">RANDBETWEEN(-$L$18*10,$L$18*10)/10</f>
        <v>-0.9</v>
      </c>
      <c r="L38" s="58">
        <f t="shared" ref="L38:L46" ca="1" si="13">$I38+($K38+$B$17)/10000</f>
        <v>3.4410000000000003E-2</v>
      </c>
    </row>
    <row r="39" spans="1:13" x14ac:dyDescent="0.25">
      <c r="A39" t="s">
        <v>59</v>
      </c>
      <c r="B39">
        <v>3</v>
      </c>
      <c r="C39" s="13">
        <f t="shared" si="9"/>
        <v>46282</v>
      </c>
      <c r="D39" s="13" cm="1">
        <f t="array" ref="D39">Demo_AddTenor($C39,$A39,$N$6:$N$16)</f>
        <v>47378</v>
      </c>
      <c r="E39" s="13" cm="1">
        <f t="array" ref="E39">Demo_AdjustDate($D39,$B$14,$N$6:$N$16)</f>
        <v>47378</v>
      </c>
      <c r="F39">
        <f t="shared" si="10"/>
        <v>1096</v>
      </c>
      <c r="G39" s="16" cm="1">
        <f t="array" ref="G39">Demo_YearFrac($C39,$E39,$B$10)</f>
        <v>3</v>
      </c>
      <c r="H39">
        <f t="shared" si="11"/>
        <v>3</v>
      </c>
      <c r="I39" s="20">
        <v>3.4799999999999998E-2</v>
      </c>
      <c r="K39" s="57">
        <f t="shared" ca="1" si="12"/>
        <v>-1</v>
      </c>
      <c r="L39" s="58">
        <f t="shared" ca="1" si="13"/>
        <v>3.4699999999999995E-2</v>
      </c>
    </row>
    <row r="40" spans="1:13" x14ac:dyDescent="0.25">
      <c r="A40" t="s">
        <v>60</v>
      </c>
      <c r="B40">
        <v>4</v>
      </c>
      <c r="C40" s="13">
        <f t="shared" si="9"/>
        <v>46282</v>
      </c>
      <c r="D40" s="13" cm="1">
        <f t="array" ref="D40">Demo_AddTenor($C40,$A40,$N$6:$N$16)</f>
        <v>47743</v>
      </c>
      <c r="E40" s="13" cm="1">
        <f t="array" ref="E40">Demo_AdjustDate($D40,$B$14,$N$6:$N$16)</f>
        <v>47743</v>
      </c>
      <c r="F40">
        <f t="shared" si="10"/>
        <v>1461</v>
      </c>
      <c r="G40" s="16" cm="1">
        <f t="array" ref="G40">Demo_YearFrac($C40,$E40,$B$10)</f>
        <v>4</v>
      </c>
      <c r="H40">
        <f t="shared" si="11"/>
        <v>4</v>
      </c>
      <c r="I40" s="20">
        <v>3.5400000000000001E-2</v>
      </c>
      <c r="K40" s="57">
        <f t="shared" ca="1" si="12"/>
        <v>-0.2</v>
      </c>
      <c r="L40" s="58">
        <f t="shared" ca="1" si="13"/>
        <v>3.5380000000000002E-2</v>
      </c>
    </row>
    <row r="41" spans="1:13" x14ac:dyDescent="0.25">
      <c r="A41" t="s">
        <v>61</v>
      </c>
      <c r="B41">
        <v>5</v>
      </c>
      <c r="C41" s="13">
        <f t="shared" si="9"/>
        <v>46282</v>
      </c>
      <c r="D41" s="13" cm="1">
        <f t="array" ref="D41">Demo_AddTenor($C41,$A41,$N$6:$N$16)</f>
        <v>48108</v>
      </c>
      <c r="E41" s="13" cm="1">
        <f t="array" ref="E41">Demo_AdjustDate($D41,$B$14,$N$6:$N$16)</f>
        <v>48108</v>
      </c>
      <c r="F41">
        <f t="shared" si="10"/>
        <v>1826</v>
      </c>
      <c r="G41" s="16" cm="1">
        <f t="array" ref="G41">Demo_YearFrac($C41,$E41,$B$10)</f>
        <v>5</v>
      </c>
      <c r="H41">
        <f t="shared" si="11"/>
        <v>5</v>
      </c>
      <c r="I41" s="20">
        <v>3.5999999999999997E-2</v>
      </c>
      <c r="K41" s="57">
        <f t="shared" ca="1" si="12"/>
        <v>1.9</v>
      </c>
      <c r="L41" s="58">
        <f t="shared" ca="1" si="13"/>
        <v>3.619E-2</v>
      </c>
    </row>
    <row r="42" spans="1:13" x14ac:dyDescent="0.25">
      <c r="A42" t="s">
        <v>62</v>
      </c>
      <c r="B42">
        <v>7</v>
      </c>
      <c r="C42" s="13">
        <f t="shared" si="9"/>
        <v>46282</v>
      </c>
      <c r="D42" s="13" cm="1">
        <f t="array" ref="D42">Demo_AddTenor($C42,$A42,$N$6:$N$16)</f>
        <v>48839</v>
      </c>
      <c r="E42" s="13" cm="1">
        <f t="array" ref="E42">Demo_AdjustDate($D42,$B$14,$N$6:$N$16)</f>
        <v>48841</v>
      </c>
      <c r="F42">
        <f t="shared" si="10"/>
        <v>2559</v>
      </c>
      <c r="G42" s="16" cm="1">
        <f t="array" ref="G42">Demo_YearFrac($C42,$E42,$B$10)</f>
        <v>7.0055555555555555</v>
      </c>
      <c r="H42">
        <f t="shared" si="11"/>
        <v>7</v>
      </c>
      <c r="I42" s="20">
        <v>3.7199999999999997E-2</v>
      </c>
      <c r="K42" s="57">
        <f t="shared" ca="1" si="12"/>
        <v>1.1000000000000001</v>
      </c>
      <c r="L42" s="58">
        <f t="shared" ca="1" si="13"/>
        <v>3.7309999999999996E-2</v>
      </c>
    </row>
    <row r="43" spans="1:13" x14ac:dyDescent="0.25">
      <c r="A43" t="s">
        <v>63</v>
      </c>
      <c r="B43">
        <v>10</v>
      </c>
      <c r="C43" s="13">
        <f t="shared" si="9"/>
        <v>46282</v>
      </c>
      <c r="D43" s="13" cm="1">
        <f t="array" ref="D43">Demo_AddTenor($C43,$A43,$N$6:$N$16)</f>
        <v>49935</v>
      </c>
      <c r="E43" s="13" cm="1">
        <f t="array" ref="E43">Demo_AdjustDate($D43,$B$14,$N$6:$N$16)</f>
        <v>49935</v>
      </c>
      <c r="F43">
        <f t="shared" si="10"/>
        <v>3653</v>
      </c>
      <c r="G43" s="16" cm="1">
        <f t="array" ref="G43">Demo_YearFrac($C43,$E43,$B$10)</f>
        <v>10</v>
      </c>
      <c r="H43">
        <f t="shared" si="11"/>
        <v>10</v>
      </c>
      <c r="I43" s="20">
        <v>3.85E-2</v>
      </c>
      <c r="K43" s="57">
        <f t="shared" ca="1" si="12"/>
        <v>-0.1</v>
      </c>
      <c r="L43" s="58">
        <f t="shared" ca="1" si="13"/>
        <v>3.8489999999999996E-2</v>
      </c>
    </row>
    <row r="44" spans="1:13" x14ac:dyDescent="0.25">
      <c r="A44" t="s">
        <v>64</v>
      </c>
      <c r="B44">
        <v>15</v>
      </c>
      <c r="C44" s="13">
        <f t="shared" si="9"/>
        <v>46282</v>
      </c>
      <c r="D44" s="13" cm="1">
        <f t="array" ref="D44">Demo_AddTenor($C44,$A44,$N$6:$N$16)</f>
        <v>51761</v>
      </c>
      <c r="E44" s="13" cm="1">
        <f t="array" ref="E44">Demo_AdjustDate($D44,$B$14,$N$6:$N$16)</f>
        <v>51761</v>
      </c>
      <c r="F44">
        <f t="shared" si="10"/>
        <v>5479</v>
      </c>
      <c r="G44" s="16" cm="1">
        <f t="array" ref="G44">Demo_YearFrac($C44,$E44,$B$10)</f>
        <v>15</v>
      </c>
      <c r="H44">
        <f t="shared" si="11"/>
        <v>15</v>
      </c>
      <c r="I44" s="20">
        <v>0.04</v>
      </c>
      <c r="K44" s="57">
        <f t="shared" ca="1" si="12"/>
        <v>-1.9</v>
      </c>
      <c r="L44" s="58">
        <f t="shared" ca="1" si="13"/>
        <v>3.9809999999999998E-2</v>
      </c>
    </row>
    <row r="45" spans="1:13" x14ac:dyDescent="0.25">
      <c r="A45" t="s">
        <v>65</v>
      </c>
      <c r="B45">
        <v>20</v>
      </c>
      <c r="C45" s="13">
        <f t="shared" si="9"/>
        <v>46282</v>
      </c>
      <c r="D45" s="13" cm="1">
        <f t="array" ref="D45">Demo_AddTenor($C45,$A45,$N$6:$N$16)</f>
        <v>53587</v>
      </c>
      <c r="E45" s="13" cm="1">
        <f t="array" ref="E45">Demo_AdjustDate($D45,$B$14,$N$6:$N$16)</f>
        <v>53587</v>
      </c>
      <c r="F45">
        <f t="shared" si="10"/>
        <v>7305</v>
      </c>
      <c r="G45" s="16" cm="1">
        <f t="array" ref="G45">Demo_YearFrac($C45,$E45,$B$10)</f>
        <v>20</v>
      </c>
      <c r="H45">
        <f t="shared" si="11"/>
        <v>20</v>
      </c>
      <c r="I45" s="20">
        <v>4.0500000000000001E-2</v>
      </c>
      <c r="K45" s="57">
        <f t="shared" ca="1" si="12"/>
        <v>-1.4</v>
      </c>
      <c r="L45" s="58">
        <f t="shared" ca="1" si="13"/>
        <v>4.036E-2</v>
      </c>
    </row>
    <row r="46" spans="1:13" x14ac:dyDescent="0.25">
      <c r="A46" t="s">
        <v>66</v>
      </c>
      <c r="B46">
        <v>30</v>
      </c>
      <c r="C46" s="13">
        <f t="shared" si="9"/>
        <v>46282</v>
      </c>
      <c r="D46" s="13" cm="1">
        <f t="array" ref="D46">Demo_AddTenor($C46,$A46,$N$6:$N$16)</f>
        <v>57240</v>
      </c>
      <c r="E46" s="13" cm="1">
        <f t="array" ref="E46">Demo_AdjustDate($D46,$B$14,$N$6:$N$16)</f>
        <v>57241</v>
      </c>
      <c r="F46">
        <f t="shared" si="10"/>
        <v>10959</v>
      </c>
      <c r="G46" s="16" cm="1">
        <f t="array" ref="G46">Demo_YearFrac($C46,$E46,$B$10)</f>
        <v>30.002777777777776</v>
      </c>
      <c r="H46">
        <f t="shared" si="11"/>
        <v>30</v>
      </c>
      <c r="I46" s="20">
        <v>0.04</v>
      </c>
      <c r="K46" s="60">
        <f t="shared" ca="1" si="12"/>
        <v>-1.7</v>
      </c>
      <c r="L46" s="61">
        <f t="shared" ca="1" si="13"/>
        <v>3.9830000000000004E-2</v>
      </c>
    </row>
    <row r="48" spans="1:13" x14ac:dyDescent="0.25">
      <c r="A48" s="69" t="s">
        <v>67</v>
      </c>
      <c r="B48" s="69"/>
      <c r="C48" s="69"/>
      <c r="D48" s="69"/>
      <c r="E48" s="69"/>
      <c r="F48" s="69"/>
      <c r="G48" s="69"/>
      <c r="H48" s="69"/>
      <c r="I48" s="69"/>
      <c r="J48" s="69"/>
    </row>
    <row r="49" spans="1:7" x14ac:dyDescent="0.25">
      <c r="A49" s="12" t="s">
        <v>68</v>
      </c>
      <c r="B49" s="12" t="s">
        <v>69</v>
      </c>
      <c r="C49" s="12" t="s">
        <v>26</v>
      </c>
      <c r="D49" s="12" t="s">
        <v>70</v>
      </c>
      <c r="E49" s="12" t="s">
        <v>30</v>
      </c>
      <c r="F49" s="12" t="s">
        <v>71</v>
      </c>
      <c r="G49" s="12" t="s">
        <v>72</v>
      </c>
    </row>
    <row r="50" spans="1:7" x14ac:dyDescent="0.25">
      <c r="A50" t="s">
        <v>73</v>
      </c>
      <c r="B50" s="9" t="str">
        <f>$A21</f>
        <v>ON</v>
      </c>
      <c r="C50" s="15">
        <f>$D21</f>
        <v>46280</v>
      </c>
      <c r="D50" s="15">
        <f>$F21</f>
        <v>46281</v>
      </c>
      <c r="E50" s="17">
        <f>$H21</f>
        <v>2.7777777777777779E-3</v>
      </c>
      <c r="F50" s="19">
        <f ca="1">$L21</f>
        <v>3.8519999999999999E-2</v>
      </c>
      <c r="G50" t="str">
        <f>IF($A21="12M","N","Y")</f>
        <v>Y</v>
      </c>
    </row>
    <row r="51" spans="1:7" x14ac:dyDescent="0.25">
      <c r="A51" t="s">
        <v>73</v>
      </c>
      <c r="B51" t="str">
        <f t="shared" ref="B51:B55" si="14">$A22</f>
        <v>1W</v>
      </c>
      <c r="C51" s="13">
        <f t="shared" ref="C51:C55" si="15">$D22</f>
        <v>46282</v>
      </c>
      <c r="D51" s="13">
        <f t="shared" ref="D51:D55" si="16">$F22</f>
        <v>46289</v>
      </c>
      <c r="E51" s="16">
        <f t="shared" ref="E51:E55" si="17">$H22</f>
        <v>1.9444444444444445E-2</v>
      </c>
      <c r="F51" s="18">
        <f t="shared" ref="F51:F55" ca="1" si="18">$L22</f>
        <v>3.8349999999999995E-2</v>
      </c>
      <c r="G51" t="str">
        <f t="shared" ref="G51:G55" si="19">IF($A22="12M","N","Y")</f>
        <v>Y</v>
      </c>
    </row>
    <row r="52" spans="1:7" x14ac:dyDescent="0.25">
      <c r="A52" t="s">
        <v>73</v>
      </c>
      <c r="B52" t="str">
        <f t="shared" si="14"/>
        <v>1M</v>
      </c>
      <c r="C52" s="13">
        <f t="shared" si="15"/>
        <v>46282</v>
      </c>
      <c r="D52" s="13">
        <f t="shared" si="16"/>
        <v>46314</v>
      </c>
      <c r="E52" s="16">
        <f t="shared" si="17"/>
        <v>8.8888888888888892E-2</v>
      </c>
      <c r="F52" s="18">
        <f t="shared" ca="1" si="18"/>
        <v>3.8120000000000001E-2</v>
      </c>
      <c r="G52" t="str">
        <f t="shared" si="19"/>
        <v>Y</v>
      </c>
    </row>
    <row r="53" spans="1:7" x14ac:dyDescent="0.25">
      <c r="A53" t="s">
        <v>73</v>
      </c>
      <c r="B53" t="str">
        <f t="shared" si="14"/>
        <v>3M</v>
      </c>
      <c r="C53" s="13">
        <f t="shared" si="15"/>
        <v>46282</v>
      </c>
      <c r="D53" s="13">
        <f t="shared" si="16"/>
        <v>46373</v>
      </c>
      <c r="E53" s="16">
        <f t="shared" si="17"/>
        <v>0.25277777777777777</v>
      </c>
      <c r="F53" s="18">
        <f t="shared" ca="1" si="18"/>
        <v>3.7069999999999999E-2</v>
      </c>
      <c r="G53" t="str">
        <f t="shared" si="19"/>
        <v>Y</v>
      </c>
    </row>
    <row r="54" spans="1:7" x14ac:dyDescent="0.25">
      <c r="A54" t="s">
        <v>73</v>
      </c>
      <c r="B54" t="str">
        <f t="shared" si="14"/>
        <v>6M</v>
      </c>
      <c r="C54" s="13">
        <f t="shared" si="15"/>
        <v>46282</v>
      </c>
      <c r="D54" s="13">
        <f t="shared" si="16"/>
        <v>46463</v>
      </c>
      <c r="E54" s="16">
        <f t="shared" si="17"/>
        <v>0.50277777777777777</v>
      </c>
      <c r="F54" s="18">
        <f t="shared" ca="1" si="18"/>
        <v>3.653E-2</v>
      </c>
      <c r="G54" t="str">
        <f t="shared" si="19"/>
        <v>Y</v>
      </c>
    </row>
    <row r="55" spans="1:7" x14ac:dyDescent="0.25">
      <c r="A55" t="s">
        <v>73</v>
      </c>
      <c r="B55" t="str">
        <f t="shared" si="14"/>
        <v>12M</v>
      </c>
      <c r="C55" s="13">
        <f t="shared" si="15"/>
        <v>46282</v>
      </c>
      <c r="D55" s="13">
        <f t="shared" si="16"/>
        <v>46647</v>
      </c>
      <c r="E55" s="16">
        <f t="shared" si="17"/>
        <v>1.0138888888888888</v>
      </c>
      <c r="F55" s="18">
        <f t="shared" ca="1" si="18"/>
        <v>3.542E-2</v>
      </c>
      <c r="G55" t="str">
        <f t="shared" si="19"/>
        <v>N</v>
      </c>
    </row>
    <row r="56" spans="1:7" x14ac:dyDescent="0.25">
      <c r="A56" t="s">
        <v>74</v>
      </c>
      <c r="B56" s="9" t="str">
        <f>$A30</f>
        <v>SFRZ26</v>
      </c>
      <c r="C56" s="15">
        <f>$D30</f>
        <v>46372</v>
      </c>
      <c r="D56" s="15">
        <f>$E30</f>
        <v>46463</v>
      </c>
      <c r="E56" s="17">
        <f>$G30</f>
        <v>0.25277777777777777</v>
      </c>
      <c r="F56" s="19">
        <f ca="1">$M30</f>
        <v>3.5259999999999916E-2</v>
      </c>
      <c r="G56" t="s">
        <v>75</v>
      </c>
    </row>
    <row r="57" spans="1:7" x14ac:dyDescent="0.25">
      <c r="A57" t="s">
        <v>74</v>
      </c>
      <c r="B57" t="str">
        <f t="shared" ref="B57:B59" si="20">$A31</f>
        <v>SFRH27</v>
      </c>
      <c r="C57" s="13">
        <f t="shared" ref="C57:C59" si="21">$D31</f>
        <v>46463</v>
      </c>
      <c r="D57" s="13">
        <f t="shared" ref="D57:D59" si="22">$E31</f>
        <v>46554</v>
      </c>
      <c r="E57" s="16">
        <f t="shared" ref="E57:E59" si="23">$G31</f>
        <v>0.25277777777777777</v>
      </c>
      <c r="F57" s="18">
        <f t="shared" ref="F57:F59" ca="1" si="24">$M31</f>
        <v>3.4490000000000035E-2</v>
      </c>
      <c r="G57" t="s">
        <v>75</v>
      </c>
    </row>
    <row r="58" spans="1:7" x14ac:dyDescent="0.25">
      <c r="A58" t="s">
        <v>74</v>
      </c>
      <c r="B58" t="str">
        <f t="shared" si="20"/>
        <v>SFRM27</v>
      </c>
      <c r="C58" s="13">
        <f t="shared" si="21"/>
        <v>46554</v>
      </c>
      <c r="D58" s="13">
        <f t="shared" si="22"/>
        <v>46645</v>
      </c>
      <c r="E58" s="16">
        <f t="shared" si="23"/>
        <v>0.25277777777777777</v>
      </c>
      <c r="F58" s="18">
        <f t="shared" ca="1" si="24"/>
        <v>3.3939999999999963E-2</v>
      </c>
      <c r="G58" t="s">
        <v>75</v>
      </c>
    </row>
    <row r="59" spans="1:7" x14ac:dyDescent="0.25">
      <c r="A59" t="s">
        <v>74</v>
      </c>
      <c r="B59" t="str">
        <f t="shared" si="20"/>
        <v>SFRU27</v>
      </c>
      <c r="C59" s="13">
        <f t="shared" si="21"/>
        <v>46645</v>
      </c>
      <c r="D59" s="13">
        <f t="shared" si="22"/>
        <v>46736</v>
      </c>
      <c r="E59" s="16">
        <f t="shared" si="23"/>
        <v>0.25277777777777777</v>
      </c>
      <c r="F59" s="18">
        <f t="shared" ca="1" si="24"/>
        <v>3.4520000000000078E-2</v>
      </c>
      <c r="G59" t="s">
        <v>75</v>
      </c>
    </row>
    <row r="60" spans="1:7" x14ac:dyDescent="0.25">
      <c r="A60" t="s">
        <v>76</v>
      </c>
      <c r="B60" s="9" t="str">
        <f>$A37</f>
        <v>1Y</v>
      </c>
      <c r="C60" s="15">
        <f>$C37</f>
        <v>46282</v>
      </c>
      <c r="D60" s="15">
        <f>$E37</f>
        <v>46647</v>
      </c>
      <c r="E60" s="17">
        <f>$G37</f>
        <v>1</v>
      </c>
      <c r="F60" s="19">
        <f ca="1">$L37</f>
        <v>3.5439999999999999E-2</v>
      </c>
      <c r="G60" t="s">
        <v>75</v>
      </c>
    </row>
    <row r="61" spans="1:7" x14ac:dyDescent="0.25">
      <c r="A61" t="s">
        <v>76</v>
      </c>
      <c r="B61" t="str">
        <f t="shared" ref="B61:B69" si="25">$A38</f>
        <v>2Y</v>
      </c>
      <c r="C61" s="13">
        <f t="shared" ref="C61:C69" si="26">$C38</f>
        <v>46282</v>
      </c>
      <c r="D61" s="13">
        <f t="shared" ref="D61:D69" si="27">$E38</f>
        <v>47014</v>
      </c>
      <c r="E61" s="16">
        <f t="shared" ref="E61:E69" si="28">$G38</f>
        <v>2.0027777777777778</v>
      </c>
      <c r="F61" s="18">
        <f t="shared" ref="F61:F69" ca="1" si="29">$L38</f>
        <v>3.4410000000000003E-2</v>
      </c>
      <c r="G61" t="s">
        <v>75</v>
      </c>
    </row>
    <row r="62" spans="1:7" x14ac:dyDescent="0.25">
      <c r="A62" t="s">
        <v>76</v>
      </c>
      <c r="B62" t="str">
        <f t="shared" si="25"/>
        <v>3Y</v>
      </c>
      <c r="C62" s="13">
        <f t="shared" si="26"/>
        <v>46282</v>
      </c>
      <c r="D62" s="13">
        <f t="shared" si="27"/>
        <v>47378</v>
      </c>
      <c r="E62" s="16">
        <f t="shared" si="28"/>
        <v>3</v>
      </c>
      <c r="F62" s="18">
        <f t="shared" ca="1" si="29"/>
        <v>3.4699999999999995E-2</v>
      </c>
      <c r="G62" t="s">
        <v>75</v>
      </c>
    </row>
    <row r="63" spans="1:7" x14ac:dyDescent="0.25">
      <c r="A63" t="s">
        <v>76</v>
      </c>
      <c r="B63" t="str">
        <f t="shared" si="25"/>
        <v>4Y</v>
      </c>
      <c r="C63" s="13">
        <f t="shared" si="26"/>
        <v>46282</v>
      </c>
      <c r="D63" s="13">
        <f t="shared" si="27"/>
        <v>47743</v>
      </c>
      <c r="E63" s="16">
        <f t="shared" si="28"/>
        <v>4</v>
      </c>
      <c r="F63" s="18">
        <f t="shared" ca="1" si="29"/>
        <v>3.5380000000000002E-2</v>
      </c>
      <c r="G63" t="s">
        <v>75</v>
      </c>
    </row>
    <row r="64" spans="1:7" x14ac:dyDescent="0.25">
      <c r="A64" t="s">
        <v>76</v>
      </c>
      <c r="B64" t="str">
        <f t="shared" si="25"/>
        <v>5Y</v>
      </c>
      <c r="C64" s="13">
        <f t="shared" si="26"/>
        <v>46282</v>
      </c>
      <c r="D64" s="13">
        <f t="shared" si="27"/>
        <v>48108</v>
      </c>
      <c r="E64" s="16">
        <f t="shared" si="28"/>
        <v>5</v>
      </c>
      <c r="F64" s="18">
        <f t="shared" ca="1" si="29"/>
        <v>3.619E-2</v>
      </c>
      <c r="G64" t="s">
        <v>75</v>
      </c>
    </row>
    <row r="65" spans="1:10" x14ac:dyDescent="0.25">
      <c r="A65" t="s">
        <v>76</v>
      </c>
      <c r="B65" t="str">
        <f t="shared" si="25"/>
        <v>7Y</v>
      </c>
      <c r="C65" s="13">
        <f t="shared" si="26"/>
        <v>46282</v>
      </c>
      <c r="D65" s="13">
        <f t="shared" si="27"/>
        <v>48841</v>
      </c>
      <c r="E65" s="16">
        <f t="shared" si="28"/>
        <v>7.0055555555555555</v>
      </c>
      <c r="F65" s="18">
        <f t="shared" ca="1" si="29"/>
        <v>3.7309999999999996E-2</v>
      </c>
      <c r="G65" t="s">
        <v>75</v>
      </c>
    </row>
    <row r="66" spans="1:10" x14ac:dyDescent="0.25">
      <c r="A66" t="s">
        <v>76</v>
      </c>
      <c r="B66" t="str">
        <f t="shared" si="25"/>
        <v>10Y</v>
      </c>
      <c r="C66" s="13">
        <f t="shared" si="26"/>
        <v>46282</v>
      </c>
      <c r="D66" s="13">
        <f t="shared" si="27"/>
        <v>49935</v>
      </c>
      <c r="E66" s="16">
        <f t="shared" si="28"/>
        <v>10</v>
      </c>
      <c r="F66" s="18">
        <f t="shared" ca="1" si="29"/>
        <v>3.8489999999999996E-2</v>
      </c>
      <c r="G66" t="s">
        <v>75</v>
      </c>
    </row>
    <row r="67" spans="1:10" x14ac:dyDescent="0.25">
      <c r="A67" t="s">
        <v>76</v>
      </c>
      <c r="B67" t="str">
        <f t="shared" si="25"/>
        <v>15Y</v>
      </c>
      <c r="C67" s="13">
        <f t="shared" si="26"/>
        <v>46282</v>
      </c>
      <c r="D67" s="13">
        <f t="shared" si="27"/>
        <v>51761</v>
      </c>
      <c r="E67" s="16">
        <f t="shared" si="28"/>
        <v>15</v>
      </c>
      <c r="F67" s="18">
        <f t="shared" ca="1" si="29"/>
        <v>3.9809999999999998E-2</v>
      </c>
      <c r="G67" t="s">
        <v>75</v>
      </c>
    </row>
    <row r="68" spans="1:10" x14ac:dyDescent="0.25">
      <c r="A68" t="s">
        <v>76</v>
      </c>
      <c r="B68" t="str">
        <f t="shared" si="25"/>
        <v>20Y</v>
      </c>
      <c r="C68" s="13">
        <f t="shared" si="26"/>
        <v>46282</v>
      </c>
      <c r="D68" s="13">
        <f t="shared" si="27"/>
        <v>53587</v>
      </c>
      <c r="E68" s="16">
        <f t="shared" si="28"/>
        <v>20</v>
      </c>
      <c r="F68" s="18">
        <f t="shared" ca="1" si="29"/>
        <v>4.036E-2</v>
      </c>
      <c r="G68" t="s">
        <v>75</v>
      </c>
    </row>
    <row r="69" spans="1:10" x14ac:dyDescent="0.25">
      <c r="A69" t="s">
        <v>76</v>
      </c>
      <c r="B69" t="str">
        <f t="shared" si="25"/>
        <v>30Y</v>
      </c>
      <c r="C69" s="13">
        <f t="shared" si="26"/>
        <v>46282</v>
      </c>
      <c r="D69" s="13">
        <f t="shared" si="27"/>
        <v>57241</v>
      </c>
      <c r="E69" s="16">
        <f t="shared" si="28"/>
        <v>30.002777777777776</v>
      </c>
      <c r="F69" s="18">
        <f t="shared" ca="1" si="29"/>
        <v>3.9830000000000004E-2</v>
      </c>
      <c r="G69" t="s">
        <v>75</v>
      </c>
    </row>
    <row r="71" spans="1:10" x14ac:dyDescent="0.25">
      <c r="A71" s="69" t="s">
        <v>77</v>
      </c>
      <c r="B71" s="69"/>
      <c r="C71" s="69"/>
      <c r="D71" s="69"/>
      <c r="E71" s="69"/>
      <c r="F71" s="69"/>
      <c r="G71" s="69"/>
      <c r="H71" s="69"/>
      <c r="I71" s="69"/>
      <c r="J71" s="69"/>
    </row>
    <row r="72" spans="1:10" x14ac:dyDescent="0.25">
      <c r="A72" s="10" t="s">
        <v>78</v>
      </c>
      <c r="B72" s="11" t="str" cm="1">
        <f t="array" aca="1" ref="B72" ca="1">Demo_BuildCurve($B$16,$B$5,$B$7,$A$50:$G$69)</f>
        <v>CRV:USD-SOFR-OIS:1</v>
      </c>
    </row>
    <row r="73" spans="1:10" x14ac:dyDescent="0.25">
      <c r="A73" t="s">
        <v>79</v>
      </c>
      <c r="B73" s="6" cm="1">
        <f t="array" aca="1" ref="B73" ca="1">IFERROR(Demo_CurvePillars($B$72),"n/a")</f>
        <v>36</v>
      </c>
    </row>
    <row r="74" spans="1:10" x14ac:dyDescent="0.25">
      <c r="A74" t="s">
        <v>80</v>
      </c>
      <c r="B74" s="6" t="str">
        <f ca="1">IFERROR(IF(LEFT($B$72,4)="CRV:","OK — curve cached","CHECK"),"Demo_ VBA module not loaded")</f>
        <v>OK — curve cached</v>
      </c>
    </row>
    <row r="75" spans="1:10" x14ac:dyDescent="0.25">
      <c r="A75" t="s">
        <v>81</v>
      </c>
      <c r="B75" s="6" t="str">
        <f>COUNTIF($G$50:$G$69,"Y")&amp;" of "&amp;COUNTA($G$50:$G$69)</f>
        <v>19 of 20</v>
      </c>
    </row>
    <row r="76" spans="1:10" x14ac:dyDescent="0.25">
      <c r="A76" t="s">
        <v>121</v>
      </c>
      <c r="B76" s="56" cm="1">
        <f t="array" aca="1" ref="B76" ca="1">Demo_DF($B$72,$E$37)</f>
        <v>0.96577300471297223</v>
      </c>
      <c r="C76" s="1" t="s">
        <v>82</v>
      </c>
    </row>
  </sheetData>
  <mergeCells count="8">
    <mergeCell ref="A71:J71"/>
    <mergeCell ref="N4:O4"/>
    <mergeCell ref="A1:J1"/>
    <mergeCell ref="A4:J4"/>
    <mergeCell ref="A19:J19"/>
    <mergeCell ref="A28:J28"/>
    <mergeCell ref="A35:J35"/>
    <mergeCell ref="A48:J48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4F94C-2CB3-4E10-AA7B-67F70AEFD3B0}">
  <sheetPr codeName="Sheet3"/>
  <dimension ref="A1:I62"/>
  <sheetViews>
    <sheetView showGridLines="0" tabSelected="1" workbookViewId="0">
      <pane ySplit="4" topLeftCell="A5" activePane="bottomLeft" state="frozen"/>
      <selection pane="bottomLeft" activeCell="L4" sqref="L4"/>
    </sheetView>
  </sheetViews>
  <sheetFormatPr defaultRowHeight="15" x14ac:dyDescent="0.25"/>
  <cols>
    <col min="1" max="1" width="8.42578125" customWidth="1"/>
    <col min="2" max="2" width="8.28515625" customWidth="1"/>
    <col min="3" max="3" width="11.7109375" customWidth="1"/>
    <col min="4" max="4" width="11.140625" customWidth="1"/>
    <col min="5" max="5" width="10.28515625" customWidth="1"/>
    <col min="6" max="6" width="9.7109375" customWidth="1"/>
    <col min="7" max="7" width="10.28515625" customWidth="1"/>
    <col min="8" max="8" width="11" customWidth="1"/>
    <col min="9" max="9" width="11.85546875" customWidth="1"/>
    <col min="10" max="12" width="15.28515625" customWidth="1"/>
  </cols>
  <sheetData>
    <row r="1" spans="1:9" ht="21.95" customHeight="1" x14ac:dyDescent="0.3">
      <c r="A1" s="23" t="s">
        <v>129</v>
      </c>
      <c r="B1" s="68"/>
      <c r="C1" s="68"/>
      <c r="D1" s="68"/>
      <c r="E1" s="68"/>
      <c r="F1" s="68"/>
      <c r="G1" s="68"/>
      <c r="H1" s="68"/>
      <c r="I1" s="68"/>
    </row>
    <row r="3" spans="1:9" x14ac:dyDescent="0.25">
      <c r="A3" s="10" t="s">
        <v>78</v>
      </c>
      <c r="C3" s="37" t="str">
        <f ca="1">'Market Data'!$B$72</f>
        <v>CRV:USD-SOFR-OIS:1</v>
      </c>
    </row>
    <row r="4" spans="1:9" x14ac:dyDescent="0.25">
      <c r="A4" s="10" t="s">
        <v>84</v>
      </c>
      <c r="C4" s="14">
        <f>'Market Data'!$B$7</f>
        <v>46282</v>
      </c>
    </row>
    <row r="6" spans="1:9" x14ac:dyDescent="0.25">
      <c r="A6" s="3" t="s">
        <v>85</v>
      </c>
      <c r="B6" s="3"/>
      <c r="C6" s="3"/>
      <c r="D6" s="3"/>
      <c r="E6" s="3"/>
      <c r="F6" s="3"/>
      <c r="G6" s="3"/>
      <c r="H6" s="3"/>
      <c r="I6" s="3"/>
    </row>
    <row r="7" spans="1:9" x14ac:dyDescent="0.25">
      <c r="A7" s="25" t="s">
        <v>25</v>
      </c>
      <c r="B7" s="25" t="s">
        <v>86</v>
      </c>
      <c r="C7" s="25" t="s">
        <v>87</v>
      </c>
      <c r="D7" s="25" t="s">
        <v>131</v>
      </c>
      <c r="E7" s="25" t="s">
        <v>130</v>
      </c>
      <c r="F7" s="25" t="s">
        <v>132</v>
      </c>
      <c r="G7" s="25" t="s">
        <v>133</v>
      </c>
      <c r="H7" s="25" t="s">
        <v>100</v>
      </c>
      <c r="I7" s="25" t="s">
        <v>101</v>
      </c>
    </row>
    <row r="8" spans="1:9" x14ac:dyDescent="0.25">
      <c r="A8" s="64" t="str">
        <f>'Market Data'!$A37</f>
        <v>1Y</v>
      </c>
      <c r="B8" s="64">
        <f>'Market Data'!$B37</f>
        <v>1</v>
      </c>
      <c r="C8" s="66" cm="1">
        <f t="array" ref="C8">Demo_AdjustDate(Demo_AddMonths($C$4,12*$B8),'Market Data'!$B$14,'Market Data'!$N$6:$N$16)</f>
        <v>46647</v>
      </c>
      <c r="D8" s="27" cm="1">
        <f t="array" aca="1" ref="D8" ca="1">Demo_ParRate($C$3,$C$4,$C8)</f>
        <v>3.5440000000000041E-2</v>
      </c>
      <c r="E8" s="27" cm="1">
        <f t="array" aca="1" ref="E8" ca="1">Demo_ZeroRate($C$3,$C8)</f>
        <v>3.4826457152045701E-2</v>
      </c>
      <c r="F8" s="28" cm="1">
        <f t="array" aca="1" ref="F8" ca="1">Demo_DF($C$3,$C8)</f>
        <v>0.96577300471297223</v>
      </c>
      <c r="G8" s="27" cm="1">
        <f t="array" aca="1" ref="G8" ca="1">Demo_FwdRate($C$3,$C8,Demo_AddMonths($C8,12))</f>
        <v>3.2895640475576332E-2</v>
      </c>
      <c r="H8" s="26" cm="1">
        <f t="array" aca="1" ref="H8" ca="1">Demo_Annuity($C$3,$C$4,$C8)</f>
        <v>0.96577300471297223</v>
      </c>
      <c r="I8" s="54">
        <f t="shared" ref="I8:I17" ca="1" si="0">$H8*0.0001*10000000</f>
        <v>965.77300471297224</v>
      </c>
    </row>
    <row r="9" spans="1:9" x14ac:dyDescent="0.25">
      <c r="A9" s="64" t="str">
        <f>'Market Data'!$A38</f>
        <v>2Y</v>
      </c>
      <c r="B9" s="64">
        <f>'Market Data'!$B38</f>
        <v>2</v>
      </c>
      <c r="C9" s="66" cm="1">
        <f t="array" ref="C9">Demo_AdjustDate(Demo_AddMonths($C$4,12*$B9),'Market Data'!$B$14,'Market Data'!$N$6:$N$16)</f>
        <v>47014</v>
      </c>
      <c r="D9" s="27" cm="1">
        <f t="array" aca="1" ref="D9" ca="1">Demo_ParRate($C$3,$C$4,$C9)</f>
        <v>3.4458050697699028E-2</v>
      </c>
      <c r="E9" s="27" cm="1">
        <f t="array" aca="1" ref="E9" ca="1">Demo_ZeroRate($C$3,$C9)</f>
        <v>3.3816525794553513E-2</v>
      </c>
      <c r="F9" s="28" cm="1">
        <f t="array" aca="1" ref="F9" ca="1">Demo_DF($C$3,$C9)</f>
        <v>0.93443019963008112</v>
      </c>
      <c r="G9" s="27" cm="1">
        <f t="array" aca="1" ref="G9" ca="1">Demo_FwdRate($C$3,$C9,Demo_AddMonths($C9,12))</f>
        <v>3.4838988920860396E-2</v>
      </c>
      <c r="H9" s="26" cm="1">
        <f t="array" aca="1" ref="H9" ca="1">Demo_Annuity($C$3,$C$4,$C9)</f>
        <v>1.9028876863976922</v>
      </c>
      <c r="I9" s="54">
        <f t="shared" ca="1" si="0"/>
        <v>1902.8876863976923</v>
      </c>
    </row>
    <row r="10" spans="1:9" x14ac:dyDescent="0.25">
      <c r="A10" s="64" t="str">
        <f>'Market Data'!$A39</f>
        <v>3Y</v>
      </c>
      <c r="B10" s="64">
        <f>'Market Data'!$B39</f>
        <v>3</v>
      </c>
      <c r="C10" s="66" cm="1">
        <f t="array" ref="C10">Demo_AdjustDate(Demo_AddMonths($C$4,12*$B10),'Market Data'!$B$14,'Market Data'!$N$6:$N$16)</f>
        <v>47378</v>
      </c>
      <c r="D10" s="27" cm="1">
        <f t="array" aca="1" ref="D10" ca="1">Demo_ParRate($C$3,$C$4,$C10)</f>
        <v>3.4734771513072978E-2</v>
      </c>
      <c r="E10" s="27" cm="1">
        <f t="array" aca="1" ref="E10" ca="1">Demo_ZeroRate($C$3,$C10)</f>
        <v>3.4112388510623412E-2</v>
      </c>
      <c r="F10" s="28" cm="1">
        <f t="array" aca="1" ref="F10" ca="1">Demo_DF($C$3,$C10)</f>
        <v>0.90264076906893942</v>
      </c>
      <c r="G10" s="27" cm="1">
        <f t="array" aca="1" ref="G10" ca="1">Demo_FwdRate($C$3,$C10,Demo_AddMonths($C10,12))</f>
        <v>3.7062030293328156E-2</v>
      </c>
      <c r="H10" s="26" cm="1">
        <f t="array" aca="1" ref="H10" ca="1">Demo_Annuity($C$3,$C$4,$C10)</f>
        <v>2.802932816023215</v>
      </c>
      <c r="I10" s="54">
        <f t="shared" ca="1" si="0"/>
        <v>2802.9328160232153</v>
      </c>
    </row>
    <row r="11" spans="1:9" x14ac:dyDescent="0.25">
      <c r="A11" s="64" t="str">
        <f>'Market Data'!$A40</f>
        <v>4Y</v>
      </c>
      <c r="B11" s="64">
        <f>'Market Data'!$B40</f>
        <v>4</v>
      </c>
      <c r="C11" s="66" cm="1">
        <f t="array" ref="C11">Demo_AdjustDate(Demo_AddMonths($C$4,12*$B11),'Market Data'!$B$14,'Market Data'!$N$6:$N$16)</f>
        <v>47743</v>
      </c>
      <c r="D11" s="27" cm="1">
        <f t="array" aca="1" ref="D11" ca="1">Demo_ParRate($C$3,$C$4,$C11)</f>
        <v>3.5407923312972198E-2</v>
      </c>
      <c r="E11" s="27" cm="1">
        <f t="array" aca="1" ref="E11" ca="1">Demo_ZeroRate($C$3,$C11)</f>
        <v>3.4805810409456517E-2</v>
      </c>
      <c r="F11" s="28" cm="1">
        <f t="array" aca="1" ref="F11" ca="1">Demo_DF($C$3,$C11)</f>
        <v>0.86995081795077822</v>
      </c>
      <c r="G11" s="27" cm="1">
        <f t="array" aca="1" ref="G11" ca="1">Demo_FwdRate($C$3,$C11,Demo_AddMonths($C11,12))</f>
        <v>3.9201506481369573E-2</v>
      </c>
      <c r="H11" s="26" cm="1">
        <f t="array" aca="1" ref="H11" ca="1">Demo_Annuity($C$3,$C$4,$C11)</f>
        <v>3.672883633973993</v>
      </c>
      <c r="I11" s="54">
        <f t="shared" ca="1" si="0"/>
        <v>3672.8836339739933</v>
      </c>
    </row>
    <row r="12" spans="1:9" x14ac:dyDescent="0.25">
      <c r="A12" s="64" t="str">
        <f>'Market Data'!$A41</f>
        <v>5Y</v>
      </c>
      <c r="B12" s="64">
        <f>'Market Data'!$B41</f>
        <v>5</v>
      </c>
      <c r="C12" s="66" cm="1">
        <f t="array" ref="C12">Demo_AdjustDate(Demo_AddMonths($C$4,12*$B12),'Market Data'!$B$14,'Market Data'!$N$6:$N$16)</f>
        <v>48108</v>
      </c>
      <c r="D12" s="27" cm="1">
        <f t="array" aca="1" ref="D12" ca="1">Demo_ParRate($C$3,$C$4,$C12)</f>
        <v>3.621279350694221E-2</v>
      </c>
      <c r="E12" s="27" cm="1">
        <f t="array" aca="1" ref="E12" ca="1">Demo_ZeroRate($C$3,$C12)</f>
        <v>3.5639476620189514E-2</v>
      </c>
      <c r="F12" s="28" cm="1">
        <f t="array" aca="1" ref="F12" ca="1">Demo_DF($C$3,$C12)</f>
        <v>0.83669554054976425</v>
      </c>
      <c r="G12" s="27" cm="1">
        <f t="array" aca="1" ref="G12" ca="1">Demo_FwdRate($C$3,$C12,Demo_AddMonths($C12,12))</f>
        <v>3.935112614593362E-2</v>
      </c>
      <c r="H12" s="26" cm="1">
        <f t="array" aca="1" ref="H12" ca="1">Demo_Annuity($C$3,$C$4,$C12)</f>
        <v>4.5095791745237577</v>
      </c>
      <c r="I12" s="54">
        <f t="shared" ca="1" si="0"/>
        <v>4509.5791745237575</v>
      </c>
    </row>
    <row r="13" spans="1:9" x14ac:dyDescent="0.25">
      <c r="A13" s="64" t="str">
        <f>'Market Data'!$A42</f>
        <v>7Y</v>
      </c>
      <c r="B13" s="64">
        <f>'Market Data'!$B42</f>
        <v>7</v>
      </c>
      <c r="C13" s="66" cm="1">
        <f t="array" ref="C13">Demo_AdjustDate(Demo_AddMonths($C$4,12*$B13),'Market Data'!$B$14,'Market Data'!$N$6:$N$16)</f>
        <v>48841</v>
      </c>
      <c r="D13" s="27" cm="1">
        <f t="array" aca="1" ref="D13" ca="1">Demo_ParRate($C$3,$C$4,$C13)</f>
        <v>3.7343827809051003E-2</v>
      </c>
      <c r="E13" s="27" cm="1">
        <f t="array" aca="1" ref="E13" ca="1">Demo_ZeroRate($C$3,$C13)</f>
        <v>3.6810552460551378E-2</v>
      </c>
      <c r="F13" s="28" cm="1">
        <f t="array" aca="1" ref="F13" ca="1">Demo_DF($C$3,$C13)</f>
        <v>0.77253553556372556</v>
      </c>
      <c r="G13" s="27" cm="1">
        <f t="array" aca="1" ref="G13" ca="1">Demo_FwdRate($C$3,$C13,Demo_AddMonths($C13,12))</f>
        <v>4.0377673039470825E-2</v>
      </c>
      <c r="H13" s="26" cm="1">
        <f t="array" aca="1" ref="H13" ca="1">Demo_Annuity($C$3,$C$4,$C13)</f>
        <v>6.0910859379322657</v>
      </c>
      <c r="I13" s="54">
        <f t="shared" ca="1" si="0"/>
        <v>6091.0859379322665</v>
      </c>
    </row>
    <row r="14" spans="1:9" x14ac:dyDescent="0.25">
      <c r="A14" s="64" t="str">
        <f>'Market Data'!$A43</f>
        <v>10Y</v>
      </c>
      <c r="B14" s="64">
        <f>'Market Data'!$B43</f>
        <v>10</v>
      </c>
      <c r="C14" s="66" cm="1">
        <f t="array" ref="C14">Demo_AdjustDate(Demo_AddMonths($C$4,12*$B14),'Market Data'!$B$14,'Market Data'!$N$6:$N$16)</f>
        <v>49935</v>
      </c>
      <c r="D14" s="27" cm="1">
        <f t="array" aca="1" ref="D14" ca="1">Demo_ParRate($C$3,$C$4,$C14)</f>
        <v>3.8524088879835362E-2</v>
      </c>
      <c r="E14" s="27" cm="1">
        <f t="array" aca="1" ref="E14" ca="1">Demo_ZeroRate($C$3,$C14)</f>
        <v>3.8072933568482938E-2</v>
      </c>
      <c r="F14" s="28" cm="1">
        <f t="array" aca="1" ref="F14" ca="1">Demo_DF($C$3,$C14)</f>
        <v>0.68314901646398285</v>
      </c>
      <c r="G14" s="27" cm="1">
        <f t="array" aca="1" ref="G14" ca="1">Demo_FwdRate($C$3,$C14,Demo_AddMonths($C14,12))</f>
        <v>4.1494789215249267E-2</v>
      </c>
      <c r="H14" s="26" cm="1">
        <f t="array" aca="1" ref="H14" ca="1">Demo_Annuity($C$3,$C$4,$C14)</f>
        <v>8.2247495722570161</v>
      </c>
      <c r="I14" s="54">
        <f t="shared" ca="1" si="0"/>
        <v>8224.7495722570166</v>
      </c>
    </row>
    <row r="15" spans="1:9" x14ac:dyDescent="0.25">
      <c r="A15" s="64" t="str">
        <f>'Market Data'!$A44</f>
        <v>15Y</v>
      </c>
      <c r="B15" s="64">
        <f>'Market Data'!$B44</f>
        <v>15</v>
      </c>
      <c r="C15" s="66" cm="1">
        <f t="array" ref="C15">Demo_AdjustDate(Demo_AddMonths($C$4,12*$B15),'Market Data'!$B$14,'Market Data'!$N$6:$N$16)</f>
        <v>51761</v>
      </c>
      <c r="D15" s="27" cm="1">
        <f t="array" aca="1" ref="D15" ca="1">Demo_ParRate($C$3,$C$4,$C15)</f>
        <v>3.984099654084565E-2</v>
      </c>
      <c r="E15" s="27" cm="1">
        <f t="array" aca="1" ref="E15" ca="1">Demo_ZeroRate($C$3,$C15)</f>
        <v>3.9565329760973593E-2</v>
      </c>
      <c r="F15" s="28" cm="1">
        <f t="array" aca="1" ref="F15" ca="1">Demo_DF($C$3,$C15)</f>
        <v>0.55216214269578212</v>
      </c>
      <c r="G15" s="27" cm="1">
        <f t="array" aca="1" ref="G15" ca="1">Demo_FwdRate($C$3,$C15,Demo_AddMonths($C15,12))</f>
        <v>4.1678082157087092E-2</v>
      </c>
      <c r="H15" s="26" cm="1">
        <f t="array" aca="1" ref="H15" ca="1">Demo_Annuity($C$3,$C$4,$C15)</f>
        <v>11.240628904577903</v>
      </c>
      <c r="I15" s="54">
        <f t="shared" ca="1" si="0"/>
        <v>11240.628904577903</v>
      </c>
    </row>
    <row r="16" spans="1:9" x14ac:dyDescent="0.25">
      <c r="A16" s="64" t="str">
        <f>'Market Data'!$A45</f>
        <v>20Y</v>
      </c>
      <c r="B16" s="64">
        <f>'Market Data'!$B45</f>
        <v>20</v>
      </c>
      <c r="C16" s="66" cm="1">
        <f t="array" ref="C16">Demo_AdjustDate(Demo_AddMonths($C$4,12*$B16),'Market Data'!$B$14,'Market Data'!$N$6:$N$16)</f>
        <v>53587</v>
      </c>
      <c r="D16" s="27" cm="1">
        <f t="array" aca="1" ref="D16" ca="1">Demo_ParRate($C$3,$C$4,$C16)</f>
        <v>4.0387974065074737E-2</v>
      </c>
      <c r="E16" s="27" cm="1">
        <f t="array" aca="1" ref="E16" ca="1">Demo_ZeroRate($C$3,$C16)</f>
        <v>4.0178027299835252E-2</v>
      </c>
      <c r="F16" s="28" cm="1">
        <f t="array" aca="1" ref="F16" ca="1">Demo_DF($C$3,$C16)</f>
        <v>0.44748559580419844</v>
      </c>
      <c r="G16" s="27" cm="1">
        <f t="array" aca="1" ref="G16" ca="1">Demo_FwdRate($C$3,$C16,Demo_AddMonths($C16,12))</f>
        <v>3.809312205887961E-2</v>
      </c>
      <c r="H16" s="26" cm="1">
        <f t="array" aca="1" ref="H16" ca="1">Demo_Annuity($C$3,$C$4,$C16)</f>
        <v>13.680171313014315</v>
      </c>
      <c r="I16" s="54">
        <f t="shared" ca="1" si="0"/>
        <v>13680.171313014316</v>
      </c>
    </row>
    <row r="17" spans="1:9" x14ac:dyDescent="0.25">
      <c r="A17" s="65" t="str">
        <f>'Market Data'!$A46</f>
        <v>30Y</v>
      </c>
      <c r="B17" s="65">
        <f>'Market Data'!$B46</f>
        <v>30</v>
      </c>
      <c r="C17" s="67" cm="1">
        <f t="array" ref="C17">Demo_AdjustDate(Demo_AddMonths($C$4,12*$B17),'Market Data'!$B$14,'Market Data'!$N$6:$N$16)</f>
        <v>57241</v>
      </c>
      <c r="D17" s="30" cm="1">
        <f t="array" aca="1" ref="D17" ca="1">Demo_ParRate($C$3,$C$4,$C17)</f>
        <v>3.9859283849207852E-2</v>
      </c>
      <c r="E17" s="30" cm="1">
        <f t="array" aca="1" ref="E17" ca="1">Demo_ZeroRate($C$3,$C17)</f>
        <v>3.9151993574131717E-2</v>
      </c>
      <c r="F17" s="31" cm="1">
        <f t="array" aca="1" ref="F17" ca="1">Demo_DF($C$3,$C17)</f>
        <v>0.30865683090006907</v>
      </c>
      <c r="G17" s="30" cm="1">
        <f t="array" aca="1" ref="G17" ca="1">Demo_FwdRate($C$3,$C17,Demo_AddMonths($C17,12))</f>
        <v>3.9381567872810393E-2</v>
      </c>
      <c r="H17" s="29" cm="1">
        <f t="array" aca="1" ref="H17" ca="1">Demo_Annuity($C$3,$C$4,$C17)</f>
        <v>17.344595846612794</v>
      </c>
      <c r="I17" s="55">
        <f t="shared" ca="1" si="0"/>
        <v>17344.595846612796</v>
      </c>
    </row>
    <row r="19" spans="1:9" x14ac:dyDescent="0.25">
      <c r="A19" s="3" t="s">
        <v>122</v>
      </c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32" t="s">
        <v>26</v>
      </c>
      <c r="B20" s="33" t="s">
        <v>88</v>
      </c>
      <c r="C20" s="33" t="s">
        <v>35</v>
      </c>
      <c r="D20" s="33" t="s">
        <v>36</v>
      </c>
      <c r="E20" s="33" t="s">
        <v>57</v>
      </c>
      <c r="F20" s="33" t="s">
        <v>58</v>
      </c>
      <c r="G20" s="33" t="s">
        <v>61</v>
      </c>
      <c r="H20" s="34" t="s">
        <v>63</v>
      </c>
    </row>
    <row r="21" spans="1:9" x14ac:dyDescent="0.25">
      <c r="A21" s="39"/>
      <c r="B21" s="40"/>
      <c r="C21" s="41">
        <v>3</v>
      </c>
      <c r="D21" s="41">
        <v>6</v>
      </c>
      <c r="E21" s="41">
        <v>12</v>
      </c>
      <c r="F21" s="41">
        <v>24</v>
      </c>
      <c r="G21" s="41">
        <v>60</v>
      </c>
      <c r="H21" s="42">
        <v>120</v>
      </c>
    </row>
    <row r="22" spans="1:9" x14ac:dyDescent="0.25">
      <c r="A22" s="43" t="s">
        <v>89</v>
      </c>
      <c r="B22" s="44">
        <v>0</v>
      </c>
      <c r="C22" s="35" cm="1">
        <f t="array" aca="1" ref="C22" ca="1">Demo_FwdRate($C$3,Demo_AddMonths($C$4,$B22),Demo_AddMonths($C$4,$B22+C$21))</f>
        <v>3.7070000000000339E-2</v>
      </c>
      <c r="D22" s="35" cm="1">
        <f t="array" aca="1" ref="D22" ca="1">Demo_FwdRate($C$3,Demo_AddMonths($C$4,$B22),Demo_AddMonths($C$4,$B22+D$21))</f>
        <v>3.6530000000000229E-2</v>
      </c>
      <c r="E22" s="35" cm="1">
        <f t="array" aca="1" ref="E22" ca="1">Demo_FwdRate($C$3,Demo_AddMonths($C$4,$B22),Demo_AddMonths($C$4,$B22+E$21))</f>
        <v>3.4954520547945248E-2</v>
      </c>
      <c r="F22" s="35" cm="1">
        <f t="array" aca="1" ref="F22" ca="1">Demo_FwdRate($C$3,Demo_AddMonths($C$4,$B22),Demo_AddMonths($C$4,$B22+F$21))</f>
        <v>3.4507380413810219E-2</v>
      </c>
      <c r="G22" s="35" cm="1">
        <f t="array" aca="1" ref="G22" ca="1">Demo_FwdRate($C$3,Demo_AddMonths($C$4,$B22),Demo_AddMonths($C$4,$B22+G$21))</f>
        <v>3.847975672765433E-2</v>
      </c>
      <c r="H22" s="45" cm="1">
        <f t="array" aca="1" ref="H22" ca="1">Demo_FwdRate($C$3,Demo_AddMonths($C$4,$B22),Demo_AddMonths($C$4,$B22+H$21))</f>
        <v>4.5708023363520013E-2</v>
      </c>
    </row>
    <row r="23" spans="1:9" x14ac:dyDescent="0.25">
      <c r="A23" s="43" t="s">
        <v>90</v>
      </c>
      <c r="B23" s="44">
        <v>12</v>
      </c>
      <c r="C23" s="35" cm="1">
        <f t="array" aca="1" ref="C23" ca="1">Demo_FwdRate($C$3,Demo_AddMonths($C$4,$B23),Demo_AddMonths($C$4,$B23+C$21))</f>
        <v>3.2485056824152092E-2</v>
      </c>
      <c r="D23" s="35" cm="1">
        <f t="array" aca="1" ref="D23" ca="1">Demo_FwdRate($C$3,Demo_AddMonths($C$4,$B23),Demo_AddMonths($C$4,$B23+D$21))</f>
        <v>3.2618432353922741E-2</v>
      </c>
      <c r="E23" s="35" cm="1">
        <f t="array" aca="1" ref="E23" ca="1">Demo_FwdRate($C$3,Demo_AddMonths($C$4,$B23),Demo_AddMonths($C$4,$B23+E$21))</f>
        <v>3.2895640475576332E-2</v>
      </c>
      <c r="F23" s="35" cm="1">
        <f t="array" aca="1" ref="F23" ca="1">Demo_FwdRate($C$3,Demo_AddMonths($C$4,$B23),Demo_AddMonths($C$4,$B23+F$21))</f>
        <v>3.4444616005020308E-2</v>
      </c>
      <c r="G23" s="35" cm="1">
        <f t="array" aca="1" ref="G23" ca="1">Demo_FwdRate($C$3,Demo_AddMonths($C$4,$B23),Demo_AddMonths($C$4,$B23+G$21))</f>
        <v>3.9497419818950413E-2</v>
      </c>
      <c r="H23" s="45" cm="1">
        <f t="array" aca="1" ref="H23" ca="1">Demo_FwdRate($C$3,Demo_AddMonths($C$4,$B23),Demo_AddMonths($C$4,$B23+H$21))</f>
        <v>4.6631866838367342E-2</v>
      </c>
    </row>
    <row r="24" spans="1:9" x14ac:dyDescent="0.25">
      <c r="A24" s="43" t="s">
        <v>91</v>
      </c>
      <c r="B24" s="44">
        <v>24</v>
      </c>
      <c r="C24" s="35" cm="1">
        <f t="array" aca="1" ref="C24" ca="1">Demo_FwdRate($C$3,Demo_AddMonths($C$4,$B24),Demo_AddMonths($C$4,$B24+C$21))</f>
        <v>3.4374494864318948E-2</v>
      </c>
      <c r="D24" s="35" cm="1">
        <f t="array" aca="1" ref="D24" ca="1">Demo_FwdRate($C$3,Demo_AddMonths($C$4,$B24),Demo_AddMonths($C$4,$B24+D$21))</f>
        <v>3.4522190910700253E-2</v>
      </c>
      <c r="E24" s="35" cm="1">
        <f t="array" aca="1" ref="E24" ca="1">Demo_FwdRate($C$3,Demo_AddMonths($C$4,$B24),Demo_AddMonths($C$4,$B24+E$21))</f>
        <v>3.483288765164165E-2</v>
      </c>
      <c r="F24" s="35" cm="1">
        <f t="array" aca="1" ref="F24" ca="1">Demo_FwdRate($C$3,Demo_AddMonths($C$4,$B24),Demo_AddMonths($C$4,$B24+F$21))</f>
        <v>3.6601912862946666E-2</v>
      </c>
      <c r="G24" s="35" cm="1">
        <f t="array" aca="1" ref="G24" ca="1">Demo_FwdRate($C$3,Demo_AddMonths($C$4,$B24),Demo_AddMonths($C$4,$B24+G$21))</f>
        <v>4.1286024031764221E-2</v>
      </c>
      <c r="H24" s="45" cm="1">
        <f t="array" aca="1" ref="H24" ca="1">Demo_FwdRate($C$3,Demo_AddMonths($C$4,$B24),Demo_AddMonths($C$4,$B24+H$21))</f>
        <v>4.795263693042754E-2</v>
      </c>
    </row>
    <row r="25" spans="1:9" x14ac:dyDescent="0.25">
      <c r="A25" s="43" t="s">
        <v>92</v>
      </c>
      <c r="B25" s="44">
        <v>36</v>
      </c>
      <c r="C25" s="35" cm="1">
        <f t="array" aca="1" ref="C25" ca="1">Demo_FwdRate($C$3,Demo_AddMonths($C$4,$B25),Demo_AddMonths($C$4,$B25+C$21))</f>
        <v>3.654476577968966E-2</v>
      </c>
      <c r="D25" s="35" cm="1">
        <f t="array" aca="1" ref="D25" ca="1">Demo_FwdRate($C$3,Demo_AddMonths($C$4,$B25),Demo_AddMonths($C$4,$B25+D$21))</f>
        <v>3.671170013219343E-2</v>
      </c>
      <c r="E25" s="35" cm="1">
        <f t="array" aca="1" ref="E25" ca="1">Demo_FwdRate($C$3,Demo_AddMonths($C$4,$B25),Demo_AddMonths($C$4,$B25+E$21))</f>
        <v>3.7062030293328156E-2</v>
      </c>
      <c r="F25" s="35" cm="1">
        <f t="array" aca="1" ref="F25" ca="1">Demo_FwdRate($C$3,Demo_AddMonths($C$4,$B25),Demo_AddMonths($C$4,$B25+F$21))</f>
        <v>3.8868301593704649E-2</v>
      </c>
      <c r="G25" s="35" cm="1">
        <f t="array" aca="1" ref="G25" ca="1">Demo_FwdRate($C$3,Demo_AddMonths($C$4,$B25),Demo_AddMonths($C$4,$B25+G$21))</f>
        <v>4.2579566627364292E-2</v>
      </c>
      <c r="H25" s="45" cm="1">
        <f t="array" aca="1" ref="H25" ca="1">Demo_FwdRate($C$3,Demo_AddMonths($C$4,$B25),Demo_AddMonths($C$4,$B25+H$21))</f>
        <v>4.9104280759051482E-2</v>
      </c>
    </row>
    <row r="26" spans="1:9" x14ac:dyDescent="0.25">
      <c r="A26" s="43" t="s">
        <v>93</v>
      </c>
      <c r="B26" s="44">
        <v>60</v>
      </c>
      <c r="C26" s="35" cm="1">
        <f t="array" aca="1" ref="C26" ca="1">Demo_FwdRate($C$3,Demo_AddMonths($C$4,$B26),Demo_AddMonths($C$4,$B26+C$21))</f>
        <v>3.876647101900229E-2</v>
      </c>
      <c r="D26" s="35" cm="1">
        <f t="array" aca="1" ref="D26" ca="1">Demo_FwdRate($C$3,Demo_AddMonths($C$4,$B26),Demo_AddMonths($C$4,$B26+D$21))</f>
        <v>3.8956413205181881E-2</v>
      </c>
      <c r="E26" s="35" cm="1">
        <f t="array" aca="1" ref="E26" ca="1">Demo_FwdRate($C$3,Demo_AddMonths($C$4,$B26),Demo_AddMonths($C$4,$B26+E$21))</f>
        <v>3.935112614593362E-2</v>
      </c>
      <c r="F26" s="35" cm="1">
        <f t="array" aca="1" ref="F26" ca="1">Demo_FwdRate($C$3,Demo_AddMonths($C$4,$B26),Demo_AddMonths($C$4,$B26+F$21))</f>
        <v>4.0783507536483396E-2</v>
      </c>
      <c r="G26" s="35" cm="1">
        <f t="array" aca="1" ref="G26" ca="1">Demo_FwdRate($C$3,Demo_AddMonths($C$4,$B26),Demo_AddMonths($C$4,$B26+G$21))</f>
        <v>4.4288247508378696E-2</v>
      </c>
      <c r="H26" s="45" cm="1">
        <f t="array" aca="1" ref="H26" ca="1">Demo_FwdRate($C$3,Demo_AddMonths($C$4,$B26),Demo_AddMonths($C$4,$B26+H$21))</f>
        <v>5.0783128425014624E-2</v>
      </c>
    </row>
    <row r="27" spans="1:9" x14ac:dyDescent="0.25">
      <c r="A27" s="43" t="s">
        <v>94</v>
      </c>
      <c r="B27" s="44">
        <v>84</v>
      </c>
      <c r="C27" s="35" cm="1">
        <f t="array" aca="1" ref="C27" ca="1">Demo_FwdRate($C$3,Demo_AddMonths($C$4,$B27),Demo_AddMonths($C$4,$B27+C$21))</f>
        <v>3.9761814350032426E-2</v>
      </c>
      <c r="D27" s="35" cm="1">
        <f t="array" aca="1" ref="D27" ca="1">Demo_FwdRate($C$3,Demo_AddMonths($C$4,$B27),Demo_AddMonths($C$4,$B27+D$21))</f>
        <v>3.9959432327623723E-2</v>
      </c>
      <c r="E27" s="35" cm="1">
        <f t="array" aca="1" ref="E27" ca="1">Demo_FwdRate($C$3,Demo_AddMonths($C$4,$B27),Demo_AddMonths($C$4,$B27+E$21))</f>
        <v>4.0372605170033805E-2</v>
      </c>
      <c r="F27" s="35" cm="1">
        <f t="array" aca="1" ref="F27" ca="1">Demo_FwdRate($C$3,Demo_AddMonths($C$4,$B27),Demo_AddMonths($C$4,$B27+F$21))</f>
        <v>4.16805590095971E-2</v>
      </c>
      <c r="G27" s="35" cm="1">
        <f t="array" aca="1" ref="G27" ca="1">Demo_FwdRate($C$3,Demo_AddMonths($C$4,$B27),Demo_AddMonths($C$4,$B27+G$21))</f>
        <v>4.5161826459365742E-2</v>
      </c>
      <c r="H27" s="45" cm="1">
        <f t="array" aca="1" ref="H27" ca="1">Demo_FwdRate($C$3,Demo_AddMonths($C$4,$B27),Demo_AddMonths($C$4,$B27+H$21))</f>
        <v>5.1324579217175842E-2</v>
      </c>
    </row>
    <row r="28" spans="1:9" x14ac:dyDescent="0.25">
      <c r="A28" s="46" t="s">
        <v>95</v>
      </c>
      <c r="B28" s="47">
        <v>120</v>
      </c>
      <c r="C28" s="36" cm="1">
        <f t="array" aca="1" ref="C28" ca="1">Demo_FwdRate($C$3,Demo_AddMonths($C$4,$B28),Demo_AddMonths($C$4,$B28+C$21))</f>
        <v>4.0849828380214621E-2</v>
      </c>
      <c r="D28" s="36" cm="1">
        <f t="array" aca="1" ref="D28" ca="1">Demo_FwdRate($C$3,Demo_AddMonths($C$4,$B28),Demo_AddMonths($C$4,$B28+D$21))</f>
        <v>4.1058409070921363E-2</v>
      </c>
      <c r="E28" s="36" cm="1">
        <f t="array" aca="1" ref="E28" ca="1">Demo_FwdRate($C$3,Demo_AddMonths($C$4,$B28),Demo_AddMonths($C$4,$B28+E$21))</f>
        <v>4.1494789215249267E-2</v>
      </c>
      <c r="F28" s="36" cm="1">
        <f t="array" aca="1" ref="F28" ca="1">Demo_FwdRate($C$3,Demo_AddMonths($C$4,$B28),Demo_AddMonths($C$4,$B28+F$21))</f>
        <v>4.2717624488848562E-2</v>
      </c>
      <c r="G28" s="36" cm="1">
        <f t="array" aca="1" ref="G28" ca="1">Demo_FwdRate($C$3,Demo_AddMonths($C$4,$B28),Demo_AddMonths($C$4,$B28+G$21))</f>
        <v>4.6769516193277183E-2</v>
      </c>
      <c r="H28" s="48" cm="1">
        <f t="array" aca="1" ref="H28" ca="1">Demo_FwdRate($C$3,Demo_AddMonths($C$4,$B28),Demo_AddMonths($C$4,$B28+H$21))</f>
        <v>5.1914042557353435E-2</v>
      </c>
    </row>
    <row r="31" spans="1:9" x14ac:dyDescent="0.25">
      <c r="A31" s="3" t="s">
        <v>96</v>
      </c>
      <c r="B31" s="3"/>
      <c r="C31" s="3"/>
      <c r="D31" s="3"/>
      <c r="E31" s="3"/>
      <c r="F31" s="3"/>
      <c r="G31" s="3"/>
      <c r="H31" s="3"/>
      <c r="I31" s="3"/>
    </row>
    <row r="32" spans="1:9" ht="30" x14ac:dyDescent="0.25">
      <c r="A32" s="24" t="s">
        <v>97</v>
      </c>
      <c r="B32" s="24" t="s">
        <v>98</v>
      </c>
      <c r="C32" s="24" t="s">
        <v>99</v>
      </c>
      <c r="D32" s="24" t="s">
        <v>83</v>
      </c>
      <c r="E32" s="24" t="s">
        <v>120</v>
      </c>
    </row>
    <row r="33" spans="1:5" x14ac:dyDescent="0.25">
      <c r="A33" s="9">
        <v>1</v>
      </c>
      <c r="B33" s="19" cm="1">
        <f t="array" aca="1" ref="B33" ca="1">Demo_ParRate($C$3,$C$4,$E33)</f>
        <v>3.5440000000000041E-2</v>
      </c>
      <c r="C33" s="19" cm="1">
        <f t="array" aca="1" ref="C33" ca="1">Demo_ZeroRate($C$3,$E33)</f>
        <v>3.4826457152045701E-2</v>
      </c>
      <c r="D33" s="19" cm="1">
        <f t="array" aca="1" ref="D33" ca="1">IFERROR(Demo_FwdRate($C$3,$E33,Demo_AddMonths($E33,12)),NA())</f>
        <v>3.2895640475576332E-2</v>
      </c>
      <c r="E33" s="53" cm="1">
        <f t="array" ref="E33">Demo_AdjustDate(Demo_AddMonths($C$4,12*$A33),'Market Data'!$B$14,'Market Data'!$N$6:$N$16)</f>
        <v>46647</v>
      </c>
    </row>
    <row r="34" spans="1:5" x14ac:dyDescent="0.25">
      <c r="A34" s="9">
        <f>A33+1</f>
        <v>2</v>
      </c>
      <c r="B34" s="19" cm="1">
        <f t="array" aca="1" ref="B34" ca="1">Demo_ParRate($C$3,$C$4,$E34)</f>
        <v>3.4458050697699028E-2</v>
      </c>
      <c r="C34" s="19" cm="1">
        <f t="array" aca="1" ref="C34" ca="1">Demo_ZeroRate($C$3,$E34)</f>
        <v>3.3816525794553513E-2</v>
      </c>
      <c r="D34" s="19" cm="1">
        <f t="array" aca="1" ref="D34" ca="1">IFERROR(Demo_FwdRate($C$3,$E34,Demo_AddMonths($E34,12)),NA())</f>
        <v>3.4838988920860396E-2</v>
      </c>
      <c r="E34" s="53" cm="1">
        <f t="array" ref="E34">Demo_AdjustDate(Demo_AddMonths($C$4,12*$A34),'Market Data'!$B$14,'Market Data'!$N$6:$N$16)</f>
        <v>47014</v>
      </c>
    </row>
    <row r="35" spans="1:5" x14ac:dyDescent="0.25">
      <c r="A35" s="9">
        <f t="shared" ref="A35:A62" si="1">A34+1</f>
        <v>3</v>
      </c>
      <c r="B35" s="19" cm="1">
        <f t="array" aca="1" ref="B35" ca="1">Demo_ParRate($C$3,$C$4,$E35)</f>
        <v>3.4734771513072978E-2</v>
      </c>
      <c r="C35" s="19" cm="1">
        <f t="array" aca="1" ref="C35" ca="1">Demo_ZeroRate($C$3,$E35)</f>
        <v>3.4112388510623412E-2</v>
      </c>
      <c r="D35" s="19" cm="1">
        <f t="array" aca="1" ref="D35" ca="1">IFERROR(Demo_FwdRate($C$3,$E35,Demo_AddMonths($E35,12)),NA())</f>
        <v>3.7062030293328156E-2</v>
      </c>
      <c r="E35" s="53" cm="1">
        <f t="array" ref="E35">Demo_AdjustDate(Demo_AddMonths($C$4,12*$A35),'Market Data'!$B$14,'Market Data'!$N$6:$N$16)</f>
        <v>47378</v>
      </c>
    </row>
    <row r="36" spans="1:5" x14ac:dyDescent="0.25">
      <c r="A36" s="9">
        <f t="shared" si="1"/>
        <v>4</v>
      </c>
      <c r="B36" s="19" cm="1">
        <f t="array" aca="1" ref="B36" ca="1">Demo_ParRate($C$3,$C$4,$E36)</f>
        <v>3.5407923312972198E-2</v>
      </c>
      <c r="C36" s="19" cm="1">
        <f t="array" aca="1" ref="C36" ca="1">Demo_ZeroRate($C$3,$E36)</f>
        <v>3.4805810409456517E-2</v>
      </c>
      <c r="D36" s="19" cm="1">
        <f t="array" aca="1" ref="D36" ca="1">IFERROR(Demo_FwdRate($C$3,$E36,Demo_AddMonths($E36,12)),NA())</f>
        <v>3.9201506481369573E-2</v>
      </c>
      <c r="E36" s="53" cm="1">
        <f t="array" ref="E36">Demo_AdjustDate(Demo_AddMonths($C$4,12*$A36),'Market Data'!$B$14,'Market Data'!$N$6:$N$16)</f>
        <v>47743</v>
      </c>
    </row>
    <row r="37" spans="1:5" x14ac:dyDescent="0.25">
      <c r="A37" s="9">
        <f t="shared" si="1"/>
        <v>5</v>
      </c>
      <c r="B37" s="19" cm="1">
        <f t="array" aca="1" ref="B37" ca="1">Demo_ParRate($C$3,$C$4,$E37)</f>
        <v>3.621279350694221E-2</v>
      </c>
      <c r="C37" s="19" cm="1">
        <f t="array" aca="1" ref="C37" ca="1">Demo_ZeroRate($C$3,$E37)</f>
        <v>3.5639476620189514E-2</v>
      </c>
      <c r="D37" s="19" cm="1">
        <f t="array" aca="1" ref="D37" ca="1">IFERROR(Demo_FwdRate($C$3,$E37,Demo_AddMonths($E37,12)),NA())</f>
        <v>3.935112614593362E-2</v>
      </c>
      <c r="E37" s="53" cm="1">
        <f t="array" ref="E37">Demo_AdjustDate(Demo_AddMonths($C$4,12*$A37),'Market Data'!$B$14,'Market Data'!$N$6:$N$16)</f>
        <v>48108</v>
      </c>
    </row>
    <row r="38" spans="1:5" x14ac:dyDescent="0.25">
      <c r="A38" s="9">
        <f t="shared" si="1"/>
        <v>6</v>
      </c>
      <c r="B38" s="19" cm="1">
        <f t="array" aca="1" ref="B38" ca="1">Demo_ParRate($C$3,$C$4,$E38)</f>
        <v>3.6787202027404174E-2</v>
      </c>
      <c r="C38" s="19" cm="1">
        <f t="array" aca="1" ref="C38" ca="1">Demo_ZeroRate($C$3,$E38)</f>
        <v>3.6220663183384794E-2</v>
      </c>
      <c r="D38" s="19" cm="1">
        <f t="array" aca="1" ref="D38" ca="1">IFERROR(Demo_FwdRate($C$3,$E38,Demo_AddMonths($E38,12)),NA())</f>
        <v>4.0595701896845762E-2</v>
      </c>
      <c r="E38" s="53" cm="1">
        <f t="array" ref="E38">Demo_AdjustDate(Demo_AddMonths($C$4,12*$A38),'Market Data'!$B$14,'Market Data'!$N$6:$N$16)</f>
        <v>48474</v>
      </c>
    </row>
    <row r="39" spans="1:5" x14ac:dyDescent="0.25">
      <c r="A39" s="9">
        <f t="shared" si="1"/>
        <v>7</v>
      </c>
      <c r="B39" s="19" cm="1">
        <f t="array" aca="1" ref="B39" ca="1">Demo_ParRate($C$3,$C$4,$E39)</f>
        <v>3.7343827809051003E-2</v>
      </c>
      <c r="C39" s="19" cm="1">
        <f t="array" aca="1" ref="C39" ca="1">Demo_ZeroRate($C$3,$E39)</f>
        <v>3.6810552460551378E-2</v>
      </c>
      <c r="D39" s="19" cm="1">
        <f t="array" aca="1" ref="D39" ca="1">IFERROR(Demo_FwdRate($C$3,$E39,Demo_AddMonths($E39,12)),NA())</f>
        <v>4.0377673039470825E-2</v>
      </c>
      <c r="E39" s="53" cm="1">
        <f t="array" ref="E39">Demo_AdjustDate(Demo_AddMonths($C$4,12*$A39),'Market Data'!$B$14,'Market Data'!$N$6:$N$16)</f>
        <v>48841</v>
      </c>
    </row>
    <row r="40" spans="1:5" x14ac:dyDescent="0.25">
      <c r="A40" s="9">
        <f t="shared" si="1"/>
        <v>8</v>
      </c>
      <c r="B40" s="19" cm="1">
        <f t="array" aca="1" ref="B40" ca="1">Demo_ParRate($C$3,$C$4,$E40)</f>
        <v>3.7733428519093892E-2</v>
      </c>
      <c r="C40" s="19" cm="1">
        <f t="array" aca="1" ref="C40" ca="1">Demo_ZeroRate($C$3,$E40)</f>
        <v>3.722270617851893E-2</v>
      </c>
      <c r="D40" s="19" cm="1">
        <f t="array" aca="1" ref="D40" ca="1">IFERROR(Demo_FwdRate($C$3,$E40,Demo_AddMonths($E40,12)),NA())</f>
        <v>4.1300652419933151E-2</v>
      </c>
      <c r="E40" s="53" cm="1">
        <f t="array" ref="E40">Demo_AdjustDate(Demo_AddMonths($C$4,12*$A40),'Market Data'!$B$14,'Market Data'!$N$6:$N$16)</f>
        <v>49205</v>
      </c>
    </row>
    <row r="41" spans="1:5" x14ac:dyDescent="0.25">
      <c r="A41" s="9">
        <f t="shared" si="1"/>
        <v>9</v>
      </c>
      <c r="B41" s="19" cm="1">
        <f t="array" aca="1" ref="B41" ca="1">Demo_ParRate($C$3,$C$4,$E41)</f>
        <v>3.8123638039873162E-2</v>
      </c>
      <c r="C41" s="19" cm="1">
        <f t="array" aca="1" ref="C41" ca="1">Demo_ZeroRate($C$3,$E41)</f>
        <v>3.7643077758400943E-2</v>
      </c>
      <c r="D41" s="19" cm="1">
        <f t="array" aca="1" ref="D41" ca="1">IFERROR(Demo_FwdRate($C$3,$E41,Demo_AddMonths($E41,12)),NA())</f>
        <v>4.2240838464249739E-2</v>
      </c>
      <c r="E41" s="53" cm="1">
        <f t="array" ref="E41">Demo_AdjustDate(Demo_AddMonths($C$4,12*$A41),'Market Data'!$B$14,'Market Data'!$N$6:$N$16)</f>
        <v>49569</v>
      </c>
    </row>
    <row r="42" spans="1:5" x14ac:dyDescent="0.25">
      <c r="A42" s="9">
        <f t="shared" si="1"/>
        <v>10</v>
      </c>
      <c r="B42" s="19" cm="1">
        <f t="array" aca="1" ref="B42" ca="1">Demo_ParRate($C$3,$C$4,$E42)</f>
        <v>3.8524088879835362E-2</v>
      </c>
      <c r="C42" s="19" cm="1">
        <f t="array" aca="1" ref="C42" ca="1">Demo_ZeroRate($C$3,$E42)</f>
        <v>3.8072933568482938E-2</v>
      </c>
      <c r="D42" s="19" cm="1">
        <f t="array" aca="1" ref="D42" ca="1">IFERROR(Demo_FwdRate($C$3,$E42,Demo_AddMonths($E42,12)),NA())</f>
        <v>4.1494789215249267E-2</v>
      </c>
      <c r="E42" s="53" cm="1">
        <f t="array" ref="E42">Demo_AdjustDate(Demo_AddMonths($C$4,12*$A42),'Market Data'!$B$14,'Market Data'!$N$6:$N$16)</f>
        <v>49935</v>
      </c>
    </row>
    <row r="43" spans="1:5" x14ac:dyDescent="0.25">
      <c r="A43" s="9">
        <f t="shared" si="1"/>
        <v>11</v>
      </c>
      <c r="B43" s="19" cm="1">
        <f t="array" aca="1" ref="B43" ca="1">Demo_ParRate($C$3,$C$4,$E43)</f>
        <v>3.8785939027155512E-2</v>
      </c>
      <c r="C43" s="19" cm="1">
        <f t="array" aca="1" ref="C43" ca="1">Demo_ZeroRate($C$3,$E43)</f>
        <v>3.8357924905398542E-2</v>
      </c>
      <c r="D43" s="19" cm="1">
        <f t="array" aca="1" ref="D43" ca="1">IFERROR(Demo_FwdRate($C$3,$E43,Demo_AddMonths($E43,12)),NA())</f>
        <v>4.2166469755033284E-2</v>
      </c>
      <c r="E43" s="53" cm="1">
        <f t="array" ref="E43">Demo_AdjustDate(Demo_AddMonths($C$4,12*$A43),'Market Data'!$B$14,'Market Data'!$N$6:$N$16)</f>
        <v>50300</v>
      </c>
    </row>
    <row r="44" spans="1:5" x14ac:dyDescent="0.25">
      <c r="A44" s="9">
        <f t="shared" si="1"/>
        <v>12</v>
      </c>
      <c r="B44" s="19" cm="1">
        <f t="array" aca="1" ref="B44" ca="1">Demo_ParRate($C$3,$C$4,$E44)</f>
        <v>3.9048163827788973E-2</v>
      </c>
      <c r="C44" s="19" cm="1">
        <f t="array" aca="1" ref="C44" ca="1">Demo_ZeroRate($C$3,$E44)</f>
        <v>3.8649854756732022E-2</v>
      </c>
      <c r="D44" s="19" cm="1">
        <f t="array" aca="1" ref="D44" ca="1">IFERROR(Demo_FwdRate($C$3,$E44,Demo_AddMonths($E44,12)),NA())</f>
        <v>4.2858499613756949E-2</v>
      </c>
      <c r="E44" s="53" cm="1">
        <f t="array" ref="E44">Demo_AdjustDate(Demo_AddMonths($C$4,12*$A44),'Market Data'!$B$14,'Market Data'!$N$6:$N$16)</f>
        <v>50665</v>
      </c>
    </row>
    <row r="45" spans="1:5" x14ac:dyDescent="0.25">
      <c r="A45" s="9">
        <f t="shared" si="1"/>
        <v>13</v>
      </c>
      <c r="B45" s="19" cm="1">
        <f t="array" aca="1" ref="B45" ca="1">Demo_ParRate($C$3,$C$4,$E45)</f>
        <v>3.931177781477873E-2</v>
      </c>
      <c r="C45" s="19" cm="1">
        <f t="array" aca="1" ref="C45" ca="1">Demo_ZeroRate($C$3,$E45)</f>
        <v>3.895041023506135E-2</v>
      </c>
      <c r="D45" s="19" cm="1">
        <f t="array" aca="1" ref="D45" ca="1">IFERROR(Demo_FwdRate($C$3,$E45,Demo_AddMonths($E45,12)),NA())</f>
        <v>4.3581076929590283E-2</v>
      </c>
      <c r="E45" s="53" cm="1">
        <f t="array" ref="E45">Demo_AdjustDate(Demo_AddMonths($C$4,12*$A45),'Market Data'!$B$14,'Market Data'!$N$6:$N$16)</f>
        <v>51032</v>
      </c>
    </row>
    <row r="46" spans="1:5" x14ac:dyDescent="0.25">
      <c r="A46" s="9">
        <f t="shared" si="1"/>
        <v>14</v>
      </c>
      <c r="B46" s="19" cm="1">
        <f t="array" aca="1" ref="B46" ca="1">Demo_ParRate($C$3,$C$4,$E46)</f>
        <v>3.9580174021735998E-2</v>
      </c>
      <c r="C46" s="19" cm="1">
        <f t="array" aca="1" ref="C46" ca="1">Demo_ZeroRate($C$3,$E46)</f>
        <v>3.9255132885343304E-2</v>
      </c>
      <c r="D46" s="19" cm="1">
        <f t="array" aca="1" ref="D46" ca="1">IFERROR(Demo_FwdRate($C$3,$E46,Demo_AddMonths($E46,12)),NA())</f>
        <v>4.4274933198351213E-2</v>
      </c>
      <c r="E46" s="53" cm="1">
        <f t="array" ref="E46">Demo_AdjustDate(Demo_AddMonths($C$4,12*$A46),'Market Data'!$B$14,'Market Data'!$N$6:$N$16)</f>
        <v>51396</v>
      </c>
    </row>
    <row r="47" spans="1:5" x14ac:dyDescent="0.25">
      <c r="A47" s="9">
        <f t="shared" si="1"/>
        <v>15</v>
      </c>
      <c r="B47" s="19" cm="1">
        <f t="array" aca="1" ref="B47" ca="1">Demo_ParRate($C$3,$C$4,$E47)</f>
        <v>3.984099654084565E-2</v>
      </c>
      <c r="C47" s="19" cm="1">
        <f t="array" aca="1" ref="C47" ca="1">Demo_ZeroRate($C$3,$E47)</f>
        <v>3.9565329760973593E-2</v>
      </c>
      <c r="D47" s="19" cm="1">
        <f t="array" aca="1" ref="D47" ca="1">IFERROR(Demo_FwdRate($C$3,$E47,Demo_AddMonths($E47,12)),NA())</f>
        <v>4.1678082157087092E-2</v>
      </c>
      <c r="E47" s="53" cm="1">
        <f t="array" ref="E47">Demo_AdjustDate(Demo_AddMonths($C$4,12*$A47),'Market Data'!$B$14,'Market Data'!$N$6:$N$16)</f>
        <v>51761</v>
      </c>
    </row>
    <row r="48" spans="1:5" x14ac:dyDescent="0.25">
      <c r="A48" s="9">
        <f t="shared" si="1"/>
        <v>16</v>
      </c>
      <c r="B48" s="19" cm="1">
        <f t="array" aca="1" ref="B48" ca="1">Demo_ParRate($C$3,$C$4,$E48)</f>
        <v>3.9949736209656458E-2</v>
      </c>
      <c r="C48" s="19" cm="1">
        <f t="array" aca="1" ref="C48" ca="1">Demo_ZeroRate($C$3,$E48)</f>
        <v>3.9679199948773766E-2</v>
      </c>
      <c r="D48" s="19" cm="1">
        <f t="array" aca="1" ref="D48" ca="1">IFERROR(Demo_FwdRate($C$3,$E48,Demo_AddMonths($E48,12)),NA())</f>
        <v>4.1997784830843474E-2</v>
      </c>
      <c r="E48" s="53" cm="1">
        <f t="array" ref="E48">Demo_AdjustDate(Demo_AddMonths($C$4,12*$A48),'Market Data'!$B$14,'Market Data'!$N$6:$N$16)</f>
        <v>52126</v>
      </c>
    </row>
    <row r="49" spans="1:5" x14ac:dyDescent="0.25">
      <c r="A49" s="9">
        <f t="shared" si="1"/>
        <v>17</v>
      </c>
      <c r="B49" s="19" cm="1">
        <f t="array" aca="1" ref="B49" ca="1">Demo_ParRate($C$3,$C$4,$E49)</f>
        <v>4.0058632723299355E-2</v>
      </c>
      <c r="C49" s="19" cm="1">
        <f t="array" aca="1" ref="C49" ca="1">Demo_ZeroRate($C$3,$E49)</f>
        <v>3.9797961824884084E-2</v>
      </c>
      <c r="D49" s="19" cm="1">
        <f t="array" aca="1" ref="D49" ca="1">IFERROR(Demo_FwdRate($C$3,$E49,Demo_AddMonths($E49,12)),NA())</f>
        <v>4.2330729826415427E-2</v>
      </c>
      <c r="E49" s="53" cm="1">
        <f t="array" ref="E49">Demo_AdjustDate(Demo_AddMonths($C$4,12*$A49),'Market Data'!$B$14,'Market Data'!$N$6:$N$16)</f>
        <v>52491</v>
      </c>
    </row>
    <row r="50" spans="1:5" x14ac:dyDescent="0.25">
      <c r="A50" s="9">
        <f t="shared" si="1"/>
        <v>18</v>
      </c>
      <c r="B50" s="19" cm="1">
        <f t="array" aca="1" ref="B50" ca="1">Demo_ParRate($C$3,$C$4,$E50)</f>
        <v>4.017260479868761E-2</v>
      </c>
      <c r="C50" s="19" cm="1">
        <f t="array" aca="1" ref="C50" ca="1">Demo_ZeroRate($C$3,$E50)</f>
        <v>3.9922434291582959E-2</v>
      </c>
      <c r="D50" s="19" cm="1">
        <f t="array" aca="1" ref="D50" ca="1">IFERROR(Demo_FwdRate($C$3,$E50,Demo_AddMonths($E50,12)),NA())</f>
        <v>4.2670283708397386E-2</v>
      </c>
      <c r="E50" s="53" cm="1">
        <f t="array" ref="E50">Demo_AdjustDate(Demo_AddMonths($C$4,12*$A50),'Market Data'!$B$14,'Market Data'!$N$6:$N$16)</f>
        <v>52859</v>
      </c>
    </row>
    <row r="51" spans="1:5" x14ac:dyDescent="0.25">
      <c r="A51" s="9">
        <f t="shared" si="1"/>
        <v>19</v>
      </c>
      <c r="B51" s="19" cm="1">
        <f t="array" aca="1" ref="B51" ca="1">Demo_ParRate($C$3,$C$4,$E51)</f>
        <v>4.0281442768723238E-2</v>
      </c>
      <c r="C51" s="19" cm="1">
        <f t="array" aca="1" ref="C51" ca="1">Demo_ZeroRate($C$3,$E51)</f>
        <v>4.0049861964616865E-2</v>
      </c>
      <c r="D51" s="19" cm="1">
        <f t="array" aca="1" ref="D51" ca="1">IFERROR(Demo_FwdRate($C$3,$E51,Demo_AddMonths($E51,12)),NA())</f>
        <v>4.293352407463949E-2</v>
      </c>
      <c r="E51" s="53" cm="1">
        <f t="array" ref="E51">Demo_AdjustDate(Demo_AddMonths($C$4,12*$A51),'Market Data'!$B$14,'Market Data'!$N$6:$N$16)</f>
        <v>53223</v>
      </c>
    </row>
    <row r="52" spans="1:5" x14ac:dyDescent="0.25">
      <c r="A52" s="9">
        <f t="shared" si="1"/>
        <v>20</v>
      </c>
      <c r="B52" s="19" cm="1">
        <f t="array" aca="1" ref="B52" ca="1">Demo_ParRate($C$3,$C$4,$E52)</f>
        <v>4.0387974065074737E-2</v>
      </c>
      <c r="C52" s="19" cm="1">
        <f t="array" aca="1" ref="C52" ca="1">Demo_ZeroRate($C$3,$E52)</f>
        <v>4.0178027299835252E-2</v>
      </c>
      <c r="D52" s="19" cm="1">
        <f t="array" aca="1" ref="D52" ca="1">IFERROR(Demo_FwdRate($C$3,$E52,Demo_AddMonths($E52,12)),NA())</f>
        <v>3.809312205887961E-2</v>
      </c>
      <c r="E52" s="53" cm="1">
        <f t="array" ref="E52">Demo_AdjustDate(Demo_AddMonths($C$4,12*$A52),'Market Data'!$B$14,'Market Data'!$N$6:$N$16)</f>
        <v>53587</v>
      </c>
    </row>
    <row r="53" spans="1:5" x14ac:dyDescent="0.25">
      <c r="A53" s="9">
        <f t="shared" si="1"/>
        <v>21</v>
      </c>
      <c r="B53" s="19" cm="1">
        <f t="array" aca="1" ref="B53" ca="1">Demo_ParRate($C$3,$C$4,$E53)</f>
        <v>4.0334060262708589E-2</v>
      </c>
      <c r="C53" s="19" cm="1">
        <f t="array" aca="1" ref="C53" ca="1">Demo_ZeroRate($C$3,$E53)</f>
        <v>4.0069383564094736E-2</v>
      </c>
      <c r="D53" s="19" cm="1">
        <f t="array" aca="1" ref="D53" ca="1">IFERROR(Demo_FwdRate($C$3,$E53,Demo_AddMonths($E53,12)),NA())</f>
        <v>3.7924201402819241E-2</v>
      </c>
      <c r="E53" s="53" cm="1">
        <f t="array" ref="E53">Demo_AdjustDate(Demo_AddMonths($C$4,12*$A53),'Market Data'!$B$14,'Market Data'!$N$6:$N$16)</f>
        <v>53952</v>
      </c>
    </row>
    <row r="54" spans="1:5" x14ac:dyDescent="0.25">
      <c r="A54" s="9">
        <f t="shared" si="1"/>
        <v>22</v>
      </c>
      <c r="B54" s="19" cm="1">
        <f t="array" aca="1" ref="B54" ca="1">Demo_ParRate($C$3,$C$4,$E54)</f>
        <v>4.0283287646805374E-2</v>
      </c>
      <c r="C54" s="19" cm="1">
        <f t="array" aca="1" ref="C54" ca="1">Demo_ZeroRate($C$3,$E54)</f>
        <v>3.9962753486119884E-2</v>
      </c>
      <c r="D54" s="19" cm="1">
        <f t="array" aca="1" ref="D54" ca="1">IFERROR(Demo_FwdRate($C$3,$E54,Demo_AddMonths($E54,12)),NA())</f>
        <v>3.7747568504432664E-2</v>
      </c>
      <c r="E54" s="53" cm="1">
        <f t="array" ref="E54">Demo_AdjustDate(Demo_AddMonths($C$4,12*$A54),'Market Data'!$B$14,'Market Data'!$N$6:$N$16)</f>
        <v>54318</v>
      </c>
    </row>
    <row r="55" spans="1:5" x14ac:dyDescent="0.25">
      <c r="A55" s="9">
        <f t="shared" si="1"/>
        <v>23</v>
      </c>
      <c r="B55" s="19" cm="1">
        <f t="array" aca="1" ref="B55" ca="1">Demo_ParRate($C$3,$C$4,$E55)</f>
        <v>4.0229440548708265E-2</v>
      </c>
      <c r="C55" s="19" cm="1">
        <f t="array" aca="1" ref="C55" ca="1">Demo_ZeroRate($C$3,$E55)</f>
        <v>3.9858257974400714E-2</v>
      </c>
      <c r="D55" s="19" cm="1">
        <f t="array" aca="1" ref="D55" ca="1">IFERROR(Demo_FwdRate($C$3,$E55,Demo_AddMonths($E55,12)),NA())</f>
        <v>3.7568586728178692E-2</v>
      </c>
      <c r="E55" s="53" cm="1">
        <f t="array" ref="E55">Demo_AdjustDate(Demo_AddMonths($C$4,12*$A55),'Market Data'!$B$14,'Market Data'!$N$6:$N$16)</f>
        <v>54683</v>
      </c>
    </row>
    <row r="56" spans="1:5" x14ac:dyDescent="0.25">
      <c r="A56" s="9">
        <f t="shared" si="1"/>
        <v>24</v>
      </c>
      <c r="B56" s="19" cm="1">
        <f t="array" aca="1" ref="B56" ca="1">Demo_ParRate($C$3,$C$4,$E56)</f>
        <v>4.0175179774986143E-2</v>
      </c>
      <c r="C56" s="19" cm="1">
        <f t="array" aca="1" ref="C56" ca="1">Demo_ZeroRate($C$3,$E56)</f>
        <v>3.9754605056201896E-2</v>
      </c>
      <c r="D56" s="19" cm="1">
        <f t="array" aca="1" ref="D56" ca="1">IFERROR(Demo_FwdRate($C$3,$E56,Demo_AddMonths($E56,12)),NA())</f>
        <v>3.7384135954007539E-2</v>
      </c>
      <c r="E56" s="53" cm="1">
        <f t="array" ref="E56">Demo_AdjustDate(Demo_AddMonths($C$4,12*$A56),'Market Data'!$B$14,'Market Data'!$N$6:$N$16)</f>
        <v>55050</v>
      </c>
    </row>
    <row r="57" spans="1:5" x14ac:dyDescent="0.25">
      <c r="A57" s="9">
        <f t="shared" si="1"/>
        <v>25</v>
      </c>
      <c r="B57" s="19" cm="1">
        <f t="array" aca="1" ref="B57" ca="1">Demo_ParRate($C$3,$C$4,$E57)</f>
        <v>4.0121715563815767E-2</v>
      </c>
      <c r="C57" s="19" cm="1">
        <f t="array" aca="1" ref="C57" ca="1">Demo_ZeroRate($C$3,$E57)</f>
        <v>3.9652905343011247E-2</v>
      </c>
      <c r="D57" s="19" cm="1">
        <f t="array" aca="1" ref="D57" ca="1">IFERROR(Demo_FwdRate($C$3,$E57,Demo_AddMonths($E57,12)),NA())</f>
        <v>3.719804932631577E-2</v>
      </c>
      <c r="E57" s="53" cm="1">
        <f t="array" ref="E57">Demo_AdjustDate(Demo_AddMonths($C$4,12*$A57),'Market Data'!$B$14,'Market Data'!$N$6:$N$16)</f>
        <v>55414</v>
      </c>
    </row>
    <row r="58" spans="1:5" x14ac:dyDescent="0.25">
      <c r="A58" s="9">
        <f t="shared" si="1"/>
        <v>26</v>
      </c>
      <c r="B58" s="19" cm="1">
        <f t="array" aca="1" ref="B58" ca="1">Demo_ParRate($C$3,$C$4,$E58)</f>
        <v>4.0070633974256184E-2</v>
      </c>
      <c r="C58" s="19" cm="1">
        <f t="array" aca="1" ref="C58" ca="1">Demo_ZeroRate($C$3,$E58)</f>
        <v>3.9551696352734637E-2</v>
      </c>
      <c r="D58" s="19" cm="1">
        <f t="array" aca="1" ref="D58" ca="1">IFERROR(Demo_FwdRate($C$3,$E58,Demo_AddMonths($E58,12)),NA())</f>
        <v>3.7004024676969692E-2</v>
      </c>
      <c r="E58" s="53" cm="1">
        <f t="array" ref="E58">Demo_AdjustDate(Demo_AddMonths($C$4,12*$A58),'Market Data'!$B$14,'Market Data'!$N$6:$N$16)</f>
        <v>55779</v>
      </c>
    </row>
    <row r="59" spans="1:5" x14ac:dyDescent="0.25">
      <c r="A59" s="9">
        <f t="shared" si="1"/>
        <v>27</v>
      </c>
      <c r="B59" s="19" cm="1">
        <f t="array" aca="1" ref="B59" ca="1">Demo_ParRate($C$3,$C$4,$E59)</f>
        <v>4.0016971116164778E-2</v>
      </c>
      <c r="C59" s="19" cm="1">
        <f t="array" aca="1" ref="C59" ca="1">Demo_ZeroRate($C$3,$E59)</f>
        <v>3.945101218661063E-2</v>
      </c>
      <c r="D59" s="19" cm="1">
        <f t="array" aca="1" ref="D59" ca="1">IFERROR(Demo_FwdRate($C$3,$E59,Demo_AddMonths($E59,12)),NA())</f>
        <v>3.6806613680305168E-2</v>
      </c>
      <c r="E59" s="53" cm="1">
        <f t="array" ref="E59">Demo_AdjustDate(Demo_AddMonths($C$4,12*$A59),'Market Data'!$B$14,'Market Data'!$N$6:$N$16)</f>
        <v>56144</v>
      </c>
    </row>
    <row r="60" spans="1:5" x14ac:dyDescent="0.25">
      <c r="A60" s="9">
        <f t="shared" si="1"/>
        <v>28</v>
      </c>
      <c r="B60" s="19" cm="1">
        <f t="array" aca="1" ref="B60" ca="1">Demo_ParRate($C$3,$C$4,$E60)</f>
        <v>3.9963356581218218E-2</v>
      </c>
      <c r="C60" s="19" cm="1">
        <f t="array" aca="1" ref="C60" ca="1">Demo_ZeroRate($C$3,$E60)</f>
        <v>3.9350629053089288E-2</v>
      </c>
      <c r="D60" s="19" cm="1">
        <f t="array" aca="1" ref="D60" ca="1">IFERROR(Demo_FwdRate($C$3,$E60,Demo_AddMonths($E60,12)),NA())</f>
        <v>3.6604326659568337E-2</v>
      </c>
      <c r="E60" s="53" cm="1">
        <f t="array" ref="E60">Demo_AdjustDate(Demo_AddMonths($C$4,12*$A60),'Market Data'!$B$14,'Market Data'!$N$6:$N$16)</f>
        <v>56509</v>
      </c>
    </row>
    <row r="61" spans="1:5" x14ac:dyDescent="0.25">
      <c r="A61" s="9">
        <f t="shared" si="1"/>
        <v>29</v>
      </c>
      <c r="B61" s="19" cm="1">
        <f t="array" aca="1" ref="B61" ca="1">Demo_ParRate($C$3,$C$4,$E61)</f>
        <v>3.9909785372347219E-2</v>
      </c>
      <c r="C61" s="19" cm="1">
        <f t="array" aca="1" ref="C61" ca="1">Demo_ZeroRate($C$3,$E61)</f>
        <v>3.9250350283837346E-2</v>
      </c>
      <c r="D61" s="19" cm="1">
        <f t="array" aca="1" ref="D61" ca="1">IFERROR(Demo_FwdRate($C$3,$E61,Demo_AddMonths($E61,12)),NA())</f>
        <v>3.6468006519993372E-2</v>
      </c>
      <c r="E61" s="53" cm="1">
        <f t="array" ref="E61">Demo_AdjustDate(Demo_AddMonths($C$4,12*$A61),'Market Data'!$B$14,'Market Data'!$N$6:$N$16)</f>
        <v>56874</v>
      </c>
    </row>
    <row r="62" spans="1:5" x14ac:dyDescent="0.25">
      <c r="A62" s="9">
        <f t="shared" si="1"/>
        <v>30</v>
      </c>
      <c r="B62" s="19" cm="1">
        <f t="array" aca="1" ref="B62" ca="1">Demo_ParRate($C$3,$C$4,$E62)</f>
        <v>3.9859283849207852E-2</v>
      </c>
      <c r="C62" s="19" cm="1">
        <f t="array" aca="1" ref="C62" ca="1">Demo_ZeroRate($C$3,$E62)</f>
        <v>3.9151993574131717E-2</v>
      </c>
      <c r="D62" s="19" cm="1">
        <f t="array" aca="1" ref="D62" ca="1">IFERROR(Demo_FwdRate($C$3,$E62,Demo_AddMonths($E62,12)),NA())</f>
        <v>3.9381567872810393E-2</v>
      </c>
      <c r="E62" s="53" cm="1">
        <f t="array" ref="E62">Demo_AdjustDate(Demo_AddMonths($C$4,12*$A62),'Market Data'!$B$14,'Market Data'!$N$6:$N$16)</f>
        <v>57241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 Data</vt:lpstr>
      <vt:lpstr>Curve 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2026-09-15T21:59:02Z</dcterms:created>
  <dcterms:modified xsi:type="dcterms:W3CDTF">2026-09-16T00:00:53Z</dcterms:modified>
</cp:coreProperties>
</file>