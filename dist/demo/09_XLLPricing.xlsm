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\source\AndyRepos\XRayXL\XRayXL-AddIn\dist\demo\"/>
    </mc:Choice>
  </mc:AlternateContent>
  <xr:revisionPtr revIDLastSave="0" documentId="8_{956568D5-A797-467A-B94B-2C5C8B40C569}" xr6:coauthVersionLast="47" xr6:coauthVersionMax="47" xr10:uidLastSave="{00000000-0000-0000-0000-000000000000}"/>
  <bookViews>
    <workbookView xWindow="-120" yWindow="-120" windowWidth="29040" windowHeight="15720" xr2:uid="{71DE6E84-F6D9-4F1C-94B6-42E5D026D944}"/>
  </bookViews>
  <sheets>
    <sheet name="Pricing" sheetId="1" r:id="rId1"/>
  </sheets>
  <definedNames>
    <definedName name="Quotes">Pricing!$A$12:$B$16</definedName>
    <definedName name="Rate">Pricing!$E$12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20" i="1" l="1"/>
  <c r="H21" i="1"/>
  <c r="H22" i="1"/>
  <c r="H23" i="1"/>
  <c r="H24" i="1"/>
  <c r="H25" i="1"/>
  <c r="H26" i="1"/>
  <c r="H27" i="1"/>
  <c r="H28" i="1"/>
  <c r="H29" i="1"/>
  <c r="B48" i="1"/>
  <c r="D50" i="1"/>
  <c r="D48" i="1"/>
  <c r="E48" i="1"/>
  <c r="C51" i="1"/>
  <c r="C49" i="1"/>
  <c r="F51" i="1"/>
  <c r="F49" i="1"/>
  <c r="C50" i="1"/>
  <c r="C48" i="1"/>
  <c r="E50" i="1"/>
  <c r="F50" i="1"/>
  <c r="B51" i="1"/>
  <c r="F48" i="1"/>
  <c r="B49" i="1"/>
  <c r="D51" i="1"/>
  <c r="E51" i="1"/>
  <c r="D49" i="1"/>
  <c r="E49" i="1"/>
  <c r="B50" i="1"/>
  <c r="C40" i="1" a="1"/>
  <c r="B35" i="1"/>
  <c r="B34" i="1"/>
  <c r="B33" i="1"/>
  <c r="B32" i="1"/>
  <c r="G20" i="1"/>
  <c r="G21" i="1"/>
  <c r="G22" i="1"/>
  <c r="G24" i="1"/>
  <c r="G25" i="1"/>
  <c r="G27" i="1"/>
  <c r="G28" i="1"/>
  <c r="G23" i="1"/>
  <c r="G26" i="1"/>
  <c r="G29" i="1"/>
  <c r="F21" i="1"/>
  <c r="F22" i="1"/>
  <c r="F23" i="1"/>
  <c r="F25" i="1"/>
  <c r="F26" i="1"/>
  <c r="F27" i="1"/>
  <c r="F29" i="1"/>
  <c r="F20" i="1"/>
  <c r="F24" i="1"/>
  <c r="F28" i="1"/>
  <c r="C4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<sst xmlns="http://schemas.openxmlformats.org/spreadsheetml/2006/main" count="49" uniqueCount="40">
  <si>
    <t>09  An option book, all XLL</t>
  </si>
  <si>
    <t>A priced portfolio built from XLL functions: text, ranges, arrays and references as arguments, arrays as results.</t>
  </si>
  <si>
    <t>Try it</t>
  </si>
  <si>
    <t>1.  Developer tab &gt; XRayXL &gt; Arm.</t>
  </si>
  <si>
    <t>2.  Press Ctrl+Alt+F9.</t>
  </si>
  <si>
    <t>3.  Developer tab &gt; XRayXL &gt; Disarm.</t>
  </si>
  <si>
    <t>4.  Open the trace: Options &gt; Output &gt; right-click Trace file &gt; Reveal in File Explorer. (Tail in PowerShell, pressed before step 2, shows rows as they arrive.)</t>
  </si>
  <si>
    <t>Quotes</t>
  </si>
  <si>
    <t>ACME</t>
  </si>
  <si>
    <t>BOLT</t>
  </si>
  <si>
    <t>CRUX</t>
  </si>
  <si>
    <t>DYNA</t>
  </si>
  <si>
    <t>EXPO</t>
  </si>
  <si>
    <t>Rate</t>
  </si>
  <si>
    <t>Positions</t>
  </si>
  <si>
    <t>Ticker</t>
  </si>
  <si>
    <t>Strike</t>
  </si>
  <si>
    <t>Years</t>
  </si>
  <si>
    <t>Vol</t>
  </si>
  <si>
    <t>Qty</t>
  </si>
  <si>
    <t>Spot</t>
  </si>
  <si>
    <t>Price</t>
  </si>
  <si>
    <t>Value</t>
  </si>
  <si>
    <t>ZZZZ</t>
  </si>
  <si>
    <t>QuoteLookup ten times: a1:C%="ACME", a2:Q=Variant[1..5,1..2]{{"ACME",102.5},...}; ZZZZ returns #N/A</t>
  </si>
  <si>
    <t>BlackScholes nine times, not ten: Excel never calls it for row 29, whose spot is #N/A</t>
  </si>
  <si>
    <t>Portfolio</t>
  </si>
  <si>
    <t>Qty-weighted average price</t>
  </si>
  <si>
    <t>a1:K%=Double[1..9,1..1]{{...}} a2:K%=Double[1..9,1..1]{{10},{-5},...}: plain double arrays</t>
  </si>
  <si>
    <t>Cells in the positions table</t>
  </si>
  <si>
    <t>a1:U=SRef(R20C1:R29C8): a reference, named and not read; ret 80</t>
  </si>
  <si>
    <t>NPV of the bond cashflows</t>
  </si>
  <si>
    <t>a1:B=0.05 a2:Q=Variant[1..1,1..5]{{100,100,100,100,1100}}</t>
  </si>
  <si>
    <t>Grown for 10 years, then discounted</t>
  </si>
  <si>
    <t>CompoundReturn then PresentValue, both depth 1 and callerref B35: the inner call finishes first</t>
  </si>
  <si>
    <t>Bond cashflows</t>
  </si>
  <si>
    <t>Discount curve</t>
  </si>
  <si>
    <t>one call; ret Variant[1..5,1..1]{{0.97...},...}: a column in, a column out</t>
  </si>
  <si>
    <t>Price grid: strike across, vol down</t>
  </si>
  <si>
    <t>twenty more BlackScholes calls, one per cell, callerref B48 to F51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</si>
</sst>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0"/>
      <color theme="1"/>
      <name val="Segoe UI"/>
      <family val="2"/>
    </font>
    <font>
      <b/>
      <sz val="16"/>
      <color theme="1"/>
      <name val="Segoe UI"/>
      <family val="2"/>
    </font>
    <font>
      <i/>
      <sz val="10"/>
      <color theme="1"/>
      <name val="Segoe UI"/>
      <family val="2"/>
    </font>
    <font>
      <b/>
      <sz val="10"/>
      <color theme="1"/>
      <name val="Segoe UI"/>
      <family val="2"/>
    </font>
    <font>
      <sz val="10"/>
      <color rgb="FF60606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A6A62-4EF4-45E8-8214-CB53921EE88C}">
  <sheetPr codeName="Sheet1"/>
  <dimension ref="A1:J51"/>
  <sheetViews>
    <sheetView showGridLines="0" tabSelected="1" workbookViewId="0"/>
  </sheetViews>
  <sheetFormatPr defaultRowHeight="14.25" x14ac:dyDescent="0.25"/>
  <cols>
    <col min="1" max="1" width="34.7109375" style="1" customWidth="1"/>
    <col min="2" max="8" width="11.7109375" style="1" customWidth="1"/>
    <col min="9" max="9" width="9.140625" style="1"/>
    <col min="10" max="10" width="90.7109375" style="1" customWidth="1"/>
    <col min="11" max="16384" width="9.140625" style="1"/>
  </cols>
  <sheetData>
    <row r="1" spans="1:5" ht="25.5" x14ac:dyDescent="0.5">
      <c r="A1" s="2" t="s">
        <v>0</v>
      </c>
    </row>
    <row r="2" spans="1:5" x14ac:dyDescent="0.25">
      <c r="A2" s="3" t="s">
        <v>1</v>
      </c>
    </row>
    <row r="4" spans="1:5" x14ac:dyDescent="0.25">
      <c r="A4" s="4" t="s">
        <v>2</v>
      </c>
    </row>
    <row r="5" spans="1:5" x14ac:dyDescent="0.25">
      <c r="A5" s="1" t="s">
        <v>3</v>
      </c>
    </row>
    <row r="6" spans="1:5" x14ac:dyDescent="0.25">
      <c r="A6" s="1" t="s">
        <v>4</v>
      </c>
    </row>
    <row r="7" spans="1:5" x14ac:dyDescent="0.25">
      <c r="A7" s="1" t="s">
        <v>5</v>
      </c>
    </row>
    <row r="8" spans="1:5" x14ac:dyDescent="0.25">
      <c r="A8" s="1" t="s">
        <v>6</v>
      </c>
    </row>
    <row r="11" spans="1:5" x14ac:dyDescent="0.25">
      <c r="A11" s="4" t="s">
        <v>7</v>
      </c>
    </row>
    <row r="12" spans="1:5" x14ac:dyDescent="0.25">
      <c r="A12" s="1" t="s">
        <v>8</v>
      </c>
      <c r="B12" s="1">
        <v>102.5</v>
      </c>
      <c r="D12" s="1" t="s">
        <v>13</v>
      </c>
      <c r="E12" s="1">
        <v>0.05</v>
      </c>
    </row>
    <row r="13" spans="1:5" x14ac:dyDescent="0.25">
      <c r="A13" s="1" t="s">
        <v>9</v>
      </c>
      <c r="B13" s="1">
        <v>48.2</v>
      </c>
    </row>
    <row r="14" spans="1:5" x14ac:dyDescent="0.25">
      <c r="A14" s="1" t="s">
        <v>10</v>
      </c>
      <c r="B14" s="1">
        <v>250</v>
      </c>
    </row>
    <row r="15" spans="1:5" x14ac:dyDescent="0.25">
      <c r="A15" s="1" t="s">
        <v>11</v>
      </c>
      <c r="B15" s="1">
        <v>75.400000000000006</v>
      </c>
    </row>
    <row r="16" spans="1:5" x14ac:dyDescent="0.25">
      <c r="A16" s="1" t="s">
        <v>12</v>
      </c>
      <c r="B16" s="1">
        <v>12.9</v>
      </c>
    </row>
    <row r="18" spans="1:10" x14ac:dyDescent="0.25">
      <c r="A18" s="4" t="s">
        <v>14</v>
      </c>
    </row>
    <row r="19" spans="1:10" x14ac:dyDescent="0.25">
      <c r="A19" s="4" t="s">
        <v>15</v>
      </c>
      <c r="B19" s="4" t="s">
        <v>16</v>
      </c>
      <c r="C19" s="4" t="s">
        <v>17</v>
      </c>
      <c r="D19" s="4" t="s">
        <v>18</v>
      </c>
      <c r="E19" s="4" t="s">
        <v>19</v>
      </c>
      <c r="F19" s="4" t="s">
        <v>20</v>
      </c>
      <c r="G19" s="4" t="s">
        <v>21</v>
      </c>
      <c r="H19" s="4" t="s">
        <v>22</v>
      </c>
    </row>
    <row r="20" spans="1:10" x14ac:dyDescent="0.25">
      <c r="A20" s="1" t="s">
        <v>8</v>
      </c>
      <c r="B20" s="1">
        <v>100</v>
      </c>
      <c r="C20" s="1">
        <v>1</v>
      </c>
      <c r="D20" s="1">
        <v>0.2</v>
      </c>
      <c r="E20" s="1">
        <v>10</v>
      </c>
      <c r="F20" s="1">
        <f>_xll.QuoteLookup(A20,Quotes)</f>
        <v>102.5</v>
      </c>
      <c r="G20" s="1">
        <f>_xll.BlackScholes(F20,B20,C20,Rate,D20)</f>
        <v>12.099906529370571</v>
      </c>
      <c r="H20" s="1">
        <f t="shared" ref="H20:H29" si="0">E20*G20</f>
        <v>120.99906529370571</v>
      </c>
      <c r="J20" s="5" t="s">
        <v>24</v>
      </c>
    </row>
    <row r="21" spans="1:10" x14ac:dyDescent="0.25">
      <c r="A21" s="1" t="s">
        <v>8</v>
      </c>
      <c r="B21" s="1">
        <v>110</v>
      </c>
      <c r="C21" s="1">
        <v>0.5</v>
      </c>
      <c r="D21" s="1">
        <v>0.25</v>
      </c>
      <c r="E21" s="1">
        <v>-5</v>
      </c>
      <c r="F21" s="1">
        <f>_xll.QuoteLookup(A21,Quotes)</f>
        <v>102.5</v>
      </c>
      <c r="G21" s="1">
        <f>_xll.BlackScholes(F21,B21,C21,Rate,D21)</f>
        <v>5.239642079731361</v>
      </c>
      <c r="H21" s="1">
        <f t="shared" si="0"/>
        <v>-26.198210398656805</v>
      </c>
      <c r="J21" s="5" t="s">
        <v>25</v>
      </c>
    </row>
    <row r="22" spans="1:10" x14ac:dyDescent="0.25">
      <c r="A22" s="1" t="s">
        <v>9</v>
      </c>
      <c r="B22" s="1">
        <v>50</v>
      </c>
      <c r="C22" s="1">
        <v>2</v>
      </c>
      <c r="D22" s="1">
        <v>0.3</v>
      </c>
      <c r="E22" s="1">
        <v>20</v>
      </c>
      <c r="F22" s="1">
        <f>_xll.QuoteLookup(A22,Quotes)</f>
        <v>48.2</v>
      </c>
      <c r="G22" s="1">
        <f>_xll.BlackScholes(F22,B22,C22,Rate,D22)</f>
        <v>9.4139538604987081</v>
      </c>
      <c r="H22" s="1">
        <f t="shared" si="0"/>
        <v>188.27907720997416</v>
      </c>
      <c r="J22" s="5"/>
    </row>
    <row r="23" spans="1:10" x14ac:dyDescent="0.25">
      <c r="A23" s="1" t="s">
        <v>9</v>
      </c>
      <c r="B23" s="1">
        <v>45</v>
      </c>
      <c r="C23" s="1">
        <v>1</v>
      </c>
      <c r="D23" s="1">
        <v>0.3</v>
      </c>
      <c r="E23" s="1">
        <v>15</v>
      </c>
      <c r="F23" s="1">
        <f>_xll.QuoteLookup(A23,Quotes)</f>
        <v>48.2</v>
      </c>
      <c r="G23" s="1">
        <f>_xll.BlackScholes(F23,B23,C23,Rate,D23)</f>
        <v>8.5383316492932231</v>
      </c>
      <c r="H23" s="1">
        <f t="shared" si="0"/>
        <v>128.07497473939836</v>
      </c>
      <c r="J23" s="5"/>
    </row>
    <row r="24" spans="1:10" x14ac:dyDescent="0.25">
      <c r="A24" s="1" t="s">
        <v>10</v>
      </c>
      <c r="B24" s="1">
        <v>240</v>
      </c>
      <c r="C24" s="1">
        <v>1</v>
      </c>
      <c r="D24" s="1">
        <v>0.18</v>
      </c>
      <c r="E24" s="1">
        <v>2</v>
      </c>
      <c r="F24" s="1">
        <f>_xll.QuoteLookup(A24,Quotes)</f>
        <v>250</v>
      </c>
      <c r="G24" s="1">
        <f>_xll.BlackScholes(F24,B24,C24,Rate,D24)</f>
        <v>30.132729527767651</v>
      </c>
      <c r="H24" s="1">
        <f t="shared" si="0"/>
        <v>60.265459055535302</v>
      </c>
      <c r="J24" s="5"/>
    </row>
    <row r="25" spans="1:10" x14ac:dyDescent="0.25">
      <c r="A25" s="1" t="s">
        <v>10</v>
      </c>
      <c r="B25" s="1">
        <v>260</v>
      </c>
      <c r="C25" s="1">
        <v>3</v>
      </c>
      <c r="D25" s="1">
        <v>0.22</v>
      </c>
      <c r="E25" s="1">
        <v>4</v>
      </c>
      <c r="F25" s="1">
        <f>_xll.QuoteLookup(A25,Quotes)</f>
        <v>250</v>
      </c>
      <c r="G25" s="1">
        <f>_xll.BlackScholes(F25,B25,C25,Rate,D25)</f>
        <v>50.385112276404612</v>
      </c>
      <c r="H25" s="1">
        <f t="shared" si="0"/>
        <v>201.54044910561845</v>
      </c>
      <c r="J25" s="5"/>
    </row>
    <row r="26" spans="1:10" x14ac:dyDescent="0.25">
      <c r="A26" s="1" t="s">
        <v>11</v>
      </c>
      <c r="B26" s="1">
        <v>80</v>
      </c>
      <c r="C26" s="1">
        <v>0.25</v>
      </c>
      <c r="D26" s="1">
        <v>0.35</v>
      </c>
      <c r="E26" s="1">
        <v>8</v>
      </c>
      <c r="F26" s="1">
        <f>_xll.QuoteLookup(A26,Quotes)</f>
        <v>75.400000000000006</v>
      </c>
      <c r="G26" s="1">
        <f>_xll.BlackScholes(F26,B26,C26,Rate,D26)</f>
        <v>3.7701149878912013</v>
      </c>
      <c r="H26" s="1">
        <f t="shared" si="0"/>
        <v>30.16091990312961</v>
      </c>
      <c r="J26" s="5"/>
    </row>
    <row r="27" spans="1:10" x14ac:dyDescent="0.25">
      <c r="A27" s="1" t="s">
        <v>11</v>
      </c>
      <c r="B27" s="1">
        <v>70</v>
      </c>
      <c r="C27" s="1">
        <v>1</v>
      </c>
      <c r="D27" s="1">
        <v>0.35</v>
      </c>
      <c r="E27" s="1">
        <v>-6</v>
      </c>
      <c r="F27" s="1">
        <f>_xll.QuoteLookup(A27,Quotes)</f>
        <v>75.400000000000006</v>
      </c>
      <c r="G27" s="1">
        <f>_xll.BlackScholes(F27,B27,C27,Rate,D27)</f>
        <v>14.87772668333745</v>
      </c>
      <c r="H27" s="1">
        <f t="shared" si="0"/>
        <v>-89.266360100024698</v>
      </c>
      <c r="J27" s="5"/>
    </row>
    <row r="28" spans="1:10" x14ac:dyDescent="0.25">
      <c r="A28" s="1" t="s">
        <v>12</v>
      </c>
      <c r="B28" s="1">
        <v>12</v>
      </c>
      <c r="C28" s="1">
        <v>2</v>
      </c>
      <c r="D28" s="1">
        <v>0.4</v>
      </c>
      <c r="E28" s="1">
        <v>50</v>
      </c>
      <c r="F28" s="1">
        <f>_xll.QuoteLookup(A28,Quotes)</f>
        <v>12.9</v>
      </c>
      <c r="G28" s="1">
        <f>_xll.BlackScholes(F28,B28,C28,Rate,D28)</f>
        <v>3.7846897521978056</v>
      </c>
      <c r="H28" s="1">
        <f t="shared" si="0"/>
        <v>189.23448760989027</v>
      </c>
      <c r="J28" s="5"/>
    </row>
    <row r="29" spans="1:10" x14ac:dyDescent="0.25">
      <c r="A29" s="1" t="s">
        <v>23</v>
      </c>
      <c r="B29" s="1">
        <v>10</v>
      </c>
      <c r="C29" s="1">
        <v>1</v>
      </c>
      <c r="D29" s="1">
        <v>0.2</v>
      </c>
      <c r="E29" s="1">
        <v>1</v>
      </c>
      <c r="F29" s="1" t="e">
        <f>_xll.QuoteLookup(A29,Quotes)</f>
        <v>#N/A</v>
      </c>
      <c r="G29" s="1" t="e">
        <f>_xll.BlackScholes(F29,B29,C29,Rate,D29)</f>
        <v>#VALUE!</v>
      </c>
      <c r="H29" s="1" t="e">
        <f t="shared" si="0"/>
        <v>#VALUE!</v>
      </c>
      <c r="J29" s="5"/>
    </row>
    <row r="30" spans="1:10" x14ac:dyDescent="0.25">
      <c r="J30" s="5"/>
    </row>
    <row r="31" spans="1:10" x14ac:dyDescent="0.25">
      <c r="A31" s="4" t="s">
        <v>26</v>
      </c>
      <c r="J31" s="5"/>
    </row>
    <row r="32" spans="1:10" x14ac:dyDescent="0.25">
      <c r="A32" s="1" t="s">
        <v>27</v>
      </c>
      <c r="B32" s="1">
        <f>_xll.WeightedAverage(G20:G28,E20:E28)</f>
        <v>8.194794514475209</v>
      </c>
      <c r="J32" s="5" t="s">
        <v>28</v>
      </c>
    </row>
    <row r="33" spans="1:10" x14ac:dyDescent="0.25">
      <c r="A33" s="1" t="s">
        <v>29</v>
      </c>
      <c r="B33" s="1">
        <f>_xll.RangeSize(A20:H29)</f>
        <v>80</v>
      </c>
      <c r="J33" s="5" t="s">
        <v>30</v>
      </c>
    </row>
    <row r="34" spans="1:10" x14ac:dyDescent="0.25">
      <c r="A34" s="1" t="s">
        <v>31</v>
      </c>
      <c r="B34" s="1">
        <f>_xll.NetPresentValue(Rate,B37:F37)</f>
        <v>1216.4738335315408</v>
      </c>
      <c r="J34" s="5" t="s">
        <v>32</v>
      </c>
    </row>
    <row r="35" spans="1:10" x14ac:dyDescent="0.25">
      <c r="A35" s="1" t="s">
        <v>33</v>
      </c>
      <c r="B35" s="1">
        <f>_xll.PresentValue(_xll.CompoundReturn(1000,0.07,10),Rate,10)</f>
        <v>1207.6602899607581</v>
      </c>
      <c r="J35" s="5" t="s">
        <v>34</v>
      </c>
    </row>
    <row r="36" spans="1:10" x14ac:dyDescent="0.25">
      <c r="J36" s="5"/>
    </row>
    <row r="37" spans="1:10" x14ac:dyDescent="0.25">
      <c r="A37" s="1" t="s">
        <v>35</v>
      </c>
      <c r="B37" s="1">
        <v>100</v>
      </c>
      <c r="C37" s="1">
        <v>100</v>
      </c>
      <c r="D37" s="1">
        <v>100</v>
      </c>
      <c r="E37" s="1">
        <v>100</v>
      </c>
      <c r="F37" s="1">
        <v>1100</v>
      </c>
      <c r="J37" s="5"/>
    </row>
    <row r="38" spans="1:10" x14ac:dyDescent="0.25">
      <c r="J38" s="5"/>
    </row>
    <row r="39" spans="1:10" x14ac:dyDescent="0.25">
      <c r="A39" s="4" t="s">
        <v>36</v>
      </c>
      <c r="J39" s="5"/>
    </row>
    <row r="40" spans="1:10" x14ac:dyDescent="0.25">
      <c r="B40" s="1">
        <v>0.5</v>
      </c>
      <c r="C40" s="1" cm="1">
        <f t="array" ref="C40:C44">_xll.DiscountCurve(Rate,B40:B44)</f>
        <v>0.9759000729485332</v>
      </c>
      <c r="J40" s="5" t="s">
        <v>37</v>
      </c>
    </row>
    <row r="41" spans="1:10" x14ac:dyDescent="0.25">
      <c r="B41" s="1">
        <v>1</v>
      </c>
      <c r="C41" s="1">
        <v>0.95238095238095233</v>
      </c>
      <c r="J41" s="5"/>
    </row>
    <row r="42" spans="1:10" x14ac:dyDescent="0.25">
      <c r="B42" s="1">
        <v>2</v>
      </c>
      <c r="C42" s="1">
        <v>0.90702947845804982</v>
      </c>
      <c r="J42" s="5"/>
    </row>
    <row r="43" spans="1:10" x14ac:dyDescent="0.25">
      <c r="B43" s="1">
        <v>5</v>
      </c>
      <c r="C43" s="1">
        <v>0.78352616646845885</v>
      </c>
      <c r="J43" s="5"/>
    </row>
    <row r="44" spans="1:10" x14ac:dyDescent="0.25">
      <c r="B44" s="1">
        <v>10</v>
      </c>
      <c r="C44" s="1">
        <v>0.6139132535407591</v>
      </c>
      <c r="J44" s="5"/>
    </row>
    <row r="45" spans="1:10" x14ac:dyDescent="0.25">
      <c r="J45" s="5"/>
    </row>
    <row r="46" spans="1:10" x14ac:dyDescent="0.25">
      <c r="A46" s="4" t="s">
        <v>38</v>
      </c>
      <c r="J46" s="5"/>
    </row>
    <row r="47" spans="1:10" x14ac:dyDescent="0.25">
      <c r="B47" s="1">
        <v>80</v>
      </c>
      <c r="C47" s="1">
        <v>90</v>
      </c>
      <c r="D47" s="1">
        <v>100</v>
      </c>
      <c r="E47" s="1">
        <v>110</v>
      </c>
      <c r="F47" s="1">
        <v>120</v>
      </c>
      <c r="J47" s="5"/>
    </row>
    <row r="48" spans="1:10" x14ac:dyDescent="0.25">
      <c r="A48" s="1">
        <v>0.1</v>
      </c>
      <c r="B48" s="1">
        <f>_xll.BlackScholes(100,B$47,1,Rate,$A48)</f>
        <v>23.90997789403842</v>
      </c>
      <c r="C48" s="1">
        <f>_xll.BlackScholes(100,C$47,1,Rate,$A48)</f>
        <v>14.628837623936462</v>
      </c>
      <c r="D48" s="1">
        <f>_xll.BlackScholes(100,D$47,1,Rate,$A48)</f>
        <v>6.8049577088221582</v>
      </c>
      <c r="E48" s="1">
        <f>_xll.BlackScholes(100,E$47,1,Rate,$A48)</f>
        <v>2.1739451554628459</v>
      </c>
      <c r="F48" s="1">
        <f>_xll.BlackScholes(100,F$47,1,Rate,$A48)</f>
        <v>0.4624965105634864</v>
      </c>
      <c r="J48" s="5" t="s">
        <v>39</v>
      </c>
    </row>
    <row r="49" spans="1:6" x14ac:dyDescent="0.25">
      <c r="A49" s="1">
        <v>0.2</v>
      </c>
      <c r="B49" s="1">
        <f>_xll.BlackScholes(100,B$47,1,Rate,$A49)</f>
        <v>24.588835443927749</v>
      </c>
      <c r="C49" s="1">
        <f>_xll.BlackScholes(100,C$47,1,Rate,$A49)</f>
        <v>16.699448408415989</v>
      </c>
      <c r="D49" s="1">
        <f>_xll.BlackScholes(100,D$47,1,Rate,$A49)</f>
        <v>10.450583572185565</v>
      </c>
      <c r="E49" s="1">
        <f>_xll.BlackScholes(100,E$47,1,Rate,$A49)</f>
        <v>6.040088129724225</v>
      </c>
      <c r="F49" s="1">
        <f>_xll.BlackScholes(100,F$47,1,Rate,$A49)</f>
        <v>3.2474774165608089</v>
      </c>
    </row>
    <row r="50" spans="1:6" x14ac:dyDescent="0.25">
      <c r="A50" s="1">
        <v>0.3</v>
      </c>
      <c r="B50" s="1">
        <f>_xll.BlackScholes(100,B$47,1,Rate,$A50)</f>
        <v>26.462085709671783</v>
      </c>
      <c r="C50" s="1">
        <f>_xll.BlackScholes(100,C$47,1,Rate,$A50)</f>
        <v>19.697442086839736</v>
      </c>
      <c r="D50" s="1">
        <f>_xll.BlackScholes(100,D$47,1,Rate,$A50)</f>
        <v>14.231254785985819</v>
      </c>
      <c r="E50" s="1">
        <f>_xll.BlackScholes(100,E$47,1,Rate,$A50)</f>
        <v>10.02007762005595</v>
      </c>
      <c r="F50" s="1">
        <f>_xll.BlackScholes(100,F$47,1,Rate,$A50)</f>
        <v>6.9039975509387617</v>
      </c>
    </row>
    <row r="51" spans="1:6" x14ac:dyDescent="0.25">
      <c r="A51" s="1">
        <v>0.4</v>
      </c>
      <c r="B51" s="1">
        <f>_xll.BlackScholes(100,B$47,1,Rate,$A51)</f>
        <v>28.976407576833331</v>
      </c>
      <c r="C51" s="1">
        <f>_xll.BlackScholes(100,C$47,1,Rate,$A51)</f>
        <v>22.984789059492464</v>
      </c>
      <c r="D51" s="1">
        <f>_xll.BlackScholes(100,D$47,1,Rate,$A51)</f>
        <v>18.022951450216681</v>
      </c>
      <c r="E51" s="1">
        <f>_xll.BlackScholes(100,E$47,1,Rate,$A51)</f>
        <v>14.004257188401148</v>
      </c>
      <c r="F51" s="1">
        <f>_xll.BlackScholes(100,F$47,1,Rate,$A51)</f>
        <v>10.805973916005627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Pricing</vt:lpstr>
      <vt:lpstr>Quotes</vt:lpstr>
      <vt:lpstr>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Lockhart</dc:creator>
  <cp:lastModifiedBy>Andrew Lockhart</cp:lastModifiedBy>
  <dcterms:created xsi:type="dcterms:W3CDTF">2026-09-19T16:34:54Z</dcterms:created>
  <dcterms:modified xsi:type="dcterms:W3CDTF">2026-09-19T16:34:55Z</dcterms:modified>
</cp:coreProperties>
</file>